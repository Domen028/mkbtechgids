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icoregister" sheetId="1" r:id="rId1"/>
    <sheet name="Instructies" sheetId="2" r:id="rId2"/>
  </sheets>
  <calcPr calcId="124519" fullCalcOnLoad="1"/>
</workbook>
</file>

<file path=xl/sharedStrings.xml><?xml version="1.0" encoding="utf-8"?>
<sst xmlns="http://schemas.openxmlformats.org/spreadsheetml/2006/main" count="277" uniqueCount="277">
  <si>
    <t>NIS2 RISICOREGISTER — Inherent &amp; Residueel Risico</t>
  </si>
  <si>
    <t>Module 2  ·  NIS2 Art. 21(2)(a)  ·  ISO 27001 Cl. 6.1.2</t>
  </si>
  <si>
    <t>Bedrijf:</t>
  </si>
  <si>
    <t>{{BEDRIJFSNAAM}}</t>
  </si>
  <si>
    <t>Versie:</t>
  </si>
  <si>
    <t>1.0</t>
  </si>
  <si>
    <t>Datum:</t>
  </si>
  <si>
    <t>{{DATUM}}</t>
  </si>
  <si>
    <t>Eigenaar analyse:</t>
  </si>
  <si>
    <t>{{NAAM CISO}}</t>
  </si>
  <si>
    <t>Risico's:</t>
  </si>
  <si>
    <t>Kritiek:</t>
  </si>
  <si>
    <t>Hoog:</t>
  </si>
  <si>
    <t>Res. laag:</t>
  </si>
  <si>
    <t>Gem. res.:</t>
  </si>
  <si>
    <t>Open:</t>
  </si>
  <si>
    <t>Afgerond:</t>
  </si>
  <si>
    <t>ID</t>
  </si>
  <si>
    <t>Categorie</t>
  </si>
  <si>
    <t>Risicogebied</t>
  </si>
  <si>
    <t>Beschrijving</t>
  </si>
  <si>
    <t>Inh. W
(1-5)</t>
  </si>
  <si>
    <t>Inh. I
(1-5)</t>
  </si>
  <si>
    <t>Inherent
Score</t>
  </si>
  <si>
    <t>Inherent
Prior.</t>
  </si>
  <si>
    <t>Beheers-
maatregelen</t>
  </si>
  <si>
    <t>Res. W
(1-5)</t>
  </si>
  <si>
    <t>Res. I
(1-5)</t>
  </si>
  <si>
    <t>Residueel
Score</t>
  </si>
  <si>
    <t>Residueel
Prior.</t>
  </si>
  <si>
    <t>Eigenaar</t>
  </si>
  <si>
    <t>Behandel-
strategie</t>
  </si>
  <si>
    <t>Deadline</t>
  </si>
  <si>
    <t>Status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</si>
  <si>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</si>
  <si>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</si>
  <si>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</si>
  <si>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</si>
  <si>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</si>
  <si>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</si>
  <si>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</si>
  <si>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</si>
  <si>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</si>
  <si>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</si>
  <si>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</si>
  <si>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</si>
  <si>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</si>
  <si>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</si>
  <si>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</si>
  <si>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</si>
  <si>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</si>
  <si>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</si>
  <si>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</si>
  <si>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</si>
  <si>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</si>
  <si>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</si>
  <si>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</si>
  <si>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</si>
  <si>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</si>
  <si>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</si>
  <si>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</si>
  <si>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</si>
  <si>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</si>
  <si>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</si>
  <si>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</si>
  <si>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</si>
  <si>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</si>
  <si>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</si>
  <si>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</si>
  <si>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</si>
  <si>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</si>
  <si>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</si>
  <si>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</si>
  <si>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</si>
  <si>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</si>
  <si>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</si>
  <si>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</si>
  <si>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</si>
  <si>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</si>
  <si>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</si>
  <si>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</si>
  <si>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</si>
  <si>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</si>
  <si>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</si>
  <si>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</si>
  <si>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</si>
  <si>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</si>
  <si>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</si>
  <si>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</si>
  <si>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</si>
  <si>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</si>
  <si>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</si>
  <si>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</si>
  <si>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</si>
  <si>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</si>
  <si>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</si>
  <si>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</si>
  <si>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</si>
  <si>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</si>
  <si>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</si>
  <si>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</si>
  <si>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</si>
  <si>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</si>
  <si>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</si>
  <si>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</si>
  <si>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</si>
  <si>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</si>
  <si>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</si>
  <si>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</si>
  <si>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</si>
  <si>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</si>
  <si>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</si>
  <si>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</si>
  <si>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</si>
  <si>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</si>
  <si>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</si>
  <si>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</si>
  <si>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</si>
  <si>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</si>
  <si>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</si>
  <si>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</si>
  <si>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</si>
  <si>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</si>
  <si>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</si>
  <si>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</si>
  <si>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</si>
  <si>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</si>
  <si>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</si>
  <si>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</si>
  <si>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</si>
  <si>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</si>
  <si>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</si>
  <si>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</si>
  <si>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</si>
  <si>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</si>
  <si>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</si>
  <si>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</si>
  <si>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</si>
  <si>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</si>
  <si>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</si>
  <si>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</si>
  <si>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</si>
  <si>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</si>
  <si>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</si>
  <si>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</si>
  <si>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</si>
  <si>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</si>
  <si>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</si>
  <si>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</si>
  <si>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</si>
  <si>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</si>
  <si>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</si>
  <si>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</si>
  <si>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</si>
  <si>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</si>
  <si>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</si>
  <si>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</si>
  <si>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</si>
  <si>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</si>
  <si>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</si>
  <si>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</si>
  <si>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</si>
  <si>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</si>
  <si>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</si>
  <si>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</si>
  <si>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</si>
  <si>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</si>
  <si>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</si>
  <si>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</si>
  <si>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</si>
  <si>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</si>
  <si>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</si>
  <si>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</si>
  <si>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</si>
  <si>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</si>
  <si>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</si>
  <si>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</si>
  <si>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</si>
  <si>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</si>
  <si>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</si>
  <si>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</si>
  <si>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</si>
  <si>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</si>
  <si>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</si>
  <si>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</si>
  <si>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</si>
  <si>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</si>
  <si>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</si>
  <si>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</si>
  <si>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</si>
  <si>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</si>
  <si>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</si>
  <si>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</si>
  <si>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</si>
  <si>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</si>
  <si>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</si>
  <si>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</si>
  <si>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</si>
  <si>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</si>
  <si>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</si>
  <si>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</si>
  <si>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</si>
  <si>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</si>
  <si>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</si>
  <si>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</si>
  <si>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</si>
  <si>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</si>
  <si>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</si>
  <si>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</si>
  <si>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</si>
  <si>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</si>
  <si>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</si>
  <si>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</si>
  <si>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</si>
  <si>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</si>
  <si>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</si>
  <si>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</si>
  <si>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</si>
  <si>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</si>
  <si>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</si>
  <si>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</si>
  <si>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</si>
  <si>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</si>
  <si>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</si>
  <si>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</si>
  <si>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</si>
  <si>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</si>
  <si>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</si>
  <si>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</si>
  <si>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</si>
  <si>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</si>
  <si>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</si>
  <si>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</si>
  <si>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</si>
  <si>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GEMIDDELDEN</t>
  </si>
  <si>
    <t>Doel: residueel gemiddelde &lt; 6,0 voor alle risico's in scope</t>
  </si>
  <si>
    <t>MKBTechGids  ·  NIS2 Compliance Toolkit  ·  KVK 27348456  ·  BTW NL004968309B61  ·  mkbtechgids.nl</t>
  </si>
  <si>
    <t>INSTRUCTIES — NIS2 Risicoregister (Inherent &amp; Residueel)</t>
  </si>
  <si>
    <t>Inherent = ernst ZONDER maatregelen.  Residueel = ernst MÉT maatregelen.  Lichtblauw = berekende cel (niet invoeren).</t>
  </si>
  <si>
    <t>STAP-VOOR-STAP</t>
  </si>
  <si>
    <t>Stap 1</t>
  </si>
  <si>
    <t>Vul {{BEDRIJFSNAAM}}, {{DATUM}} en {{NAAM CISO}} in rij 2</t>
  </si>
  <si>
    <t>Stap 2</t>
  </si>
  <si>
    <t>Categorie (B), Risicogebied (C), Beschrijving (D) invullen</t>
  </si>
  <si>
    <t>Stap 3</t>
  </si>
  <si>
    <t>INHERENT: W (E) en I (F) scoren 1–5 — vóór maatregelen. Blauwe tekst = invoer.</t>
  </si>
  <si>
    <t>Stap 4</t>
  </si>
  <si>
    <t>Inherent Score (G) en Prioriteit (H) berekenen automatisch en kleuren</t>
  </si>
  <si>
    <t>Stap 5</t>
  </si>
  <si>
    <t>Beheersmaatregelen (I) invullen — wat doet u nu al ter beveiliging?</t>
  </si>
  <si>
    <t>Stap 6</t>
  </si>
  <si>
    <t>RESIDUEEL: W (J) en I (K) scoren 1–5 — ná uw maatregelen</t>
  </si>
  <si>
    <t>Stap 7</t>
  </si>
  <si>
    <t>Residueel Score (L) en Prioriteit (M) berekenen automatisch en kleuren</t>
  </si>
  <si>
    <t>Stap 8</t>
  </si>
  <si>
    <t>Eigenaar (N), Behandelstrategie (O), Deadline (P), Status (Q) invullen</t>
  </si>
  <si>
    <t>Stap 9</t>
  </si>
  <si>
    <t>Top-5 residueel hoge risico's kopiëren naar Module 2 §8</t>
  </si>
  <si>
    <t>KLEURCODERING — AUTOMATISCH NA INVULLEN</t>
  </si>
  <si>
    <t>🔴 Kritiek</t>
  </si>
  <si>
    <t>Score 15–25 → Rood. Directe actie, rapporteer aan directie binnen 5 werkdagen.</t>
  </si>
  <si>
    <t>🟠 Hoog</t>
  </si>
  <si>
    <t>Score 8–14 → Oranje. Behandelplan binnen 30 dagen.</t>
  </si>
  <si>
    <t>🟢 Middel</t>
  </si>
  <si>
    <t>Score 4–7 → Groen. Actie binnen 90 dagen of formeel accepteren.</t>
  </si>
  <si>
    <t>⚪ Laag</t>
  </si>
  <si>
    <t>Score 1–3 → Grijs. Accepteren en jaarlijks herbeoordelen.</t>
  </si>
  <si>
    <t>🔵 Lichtblauw</t>
  </si>
  <si>
    <t>Cel is automatisch berekend — niet handmatig invullen.</t>
  </si>
  <si>
    <t>COMPLIANCE</t>
  </si>
  <si>
    <t>NIS2 Art. 21(2)(a)</t>
  </si>
  <si>
    <t>Gedocumenteerd risicobeoordelingsproces — dit register voldoet</t>
  </si>
  <si>
    <t>ISO 27001 Cl. 6.1.2</t>
  </si>
  <si>
    <t>Inherent/residueel methodiek — 95% overlap met NIS2</t>
  </si>
  <si>
    <t>Bewaren</t>
  </si>
  <si>
    <t>Sla ondertekende PDF op per reviewdatum — minimaal 3 jaar</t>
  </si>
  <si>
    <t>MKBTechGids  ·  KVK 27348456  ·  BTW NL004968309B61  ·  mkbtechgids.nl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</si>
</sst>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9"/>
      <color rgb="FF713F12"/>
      <name val="Calibri"/>
      <family val="2"/>
      <scheme val="minor"/>
    </font>
    <font>
      <b/>
      <sz val="10"/>
      <color rgb="FF713F12"/>
      <name val="Calibri"/>
      <family val="2"/>
      <scheme val="minor"/>
    </font>
    <font>
      <b/>
      <sz val="9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6B7280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0"/>
      <color rgb="FFD97706"/>
      <name val="Calibri"/>
      <family val="2"/>
      <scheme val="minor"/>
    </font>
    <font>
      <b/>
      <sz val="10"/>
      <color rgb="FF14532D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rgb="FF9CA3AF"/>
      <name val="Calibri"/>
      <family val="2"/>
      <scheme val="minor"/>
    </font>
    <font>
      <sz val="10"/>
      <color rgb="FF37415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0"/>
      <color rgb="FF6B728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rgb="FF1C1C2E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1E3A6E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0EDFF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 applyProtection="1">
      <alignment horizontal="left" vertical="center"/>
      <protection locked="0"/>
    </xf>
    <xf numFmtId="0" fontId="13" fillId="8" borderId="1" xfId="0" applyFont="1" applyFill="1" applyBorder="1" applyAlignment="1" applyProtection="1">
      <alignment horizontal="left" vertical="center" wrapText="1"/>
      <protection locked="0"/>
    </xf>
    <xf numFmtId="0" fontId="14" fillId="8" borderId="1" xfId="0" applyFont="1" applyFill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3" fillId="8" borderId="1" xfId="0" applyFont="1" applyFill="1" applyBorder="1" applyAlignment="1" applyProtection="1">
      <alignment horizontal="center" vertical="center"/>
      <protection locked="0"/>
    </xf>
    <xf numFmtId="0" fontId="12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 applyProtection="1">
      <alignment horizontal="left" vertical="center"/>
      <protection locked="0"/>
    </xf>
    <xf numFmtId="0" fontId="13" fillId="10" borderId="1" xfId="0" applyFont="1" applyFill="1" applyBorder="1" applyAlignment="1" applyProtection="1">
      <alignment horizontal="left" vertical="center" wrapText="1"/>
      <protection locked="0"/>
    </xf>
    <xf numFmtId="0" fontId="14" fillId="10" borderId="1" xfId="0" applyFont="1" applyFill="1" applyBorder="1" applyAlignment="1" applyProtection="1">
      <alignment horizontal="center" vertical="center"/>
      <protection locked="0"/>
    </xf>
    <xf numFmtId="0" fontId="15" fillId="10" borderId="1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3" fillId="10" borderId="1" xfId="0" applyFont="1" applyFill="1" applyBorder="1" applyAlignment="1" applyProtection="1">
      <alignment horizontal="center" vertical="center"/>
      <protection locked="0"/>
    </xf>
    <xf numFmtId="0" fontId="17" fillId="5" borderId="0" xfId="0" applyFont="1" applyFill="1" applyAlignment="1">
      <alignment horizontal="right" vertical="center"/>
    </xf>
    <xf numFmtId="164" fontId="18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2">
    <dxf>
      <font>
        <b/>
        <color rgb="FFDC2626"/>
      </font>
      <fill>
        <patternFill>
          <bgColor rgb="FFFEF2F2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D97706"/>
      </font>
      <fill>
        <patternFill>
          <bgColor rgb="FFFFFBE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15803D"/>
      </font>
      <fill>
        <patternFill>
          <bgColor rgb="FFF0FDF4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6B7280"/>
      </font>
      <fill>
        <patternFill>
          <bgColor rgb="FFF9FAF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FFFFFF"/>
      </font>
      <fill>
        <patternFill>
          <bgColor rgb="FFDC2626"/>
        </patternFill>
      </fill>
      <border>
        <left style="thin">
          <color rgb="FFB91C1C"/>
        </left>
        <right style="thin">
          <color rgb="FFB91C1C"/>
        </right>
        <top style="thin">
          <color rgb="FFB91C1C"/>
        </top>
        <bottom style="thin">
          <color rgb="FFB91C1C"/>
        </bottom>
        <vertical/>
        <horizontal/>
      </border>
    </dxf>
    <dxf>
      <font>
        <b/>
        <color rgb="FFFFFFFF"/>
      </font>
      <fill>
        <patternFill>
          <bgColor rgb="FFF59E0B"/>
        </patternFill>
      </fill>
      <border>
        <left style="thin">
          <color rgb="FFD97706"/>
        </left>
        <right style="thin">
          <color rgb="FFD97706"/>
        </right>
        <top style="thin">
          <color rgb="FFD97706"/>
        </top>
        <bottom style="thin">
          <color rgb="FFD97706"/>
        </bottom>
        <vertical/>
        <horizontal/>
      </border>
    </dxf>
    <dxf>
      <font>
        <b/>
        <color rgb="FFFFFFFF"/>
      </font>
      <fill>
        <patternFill>
          <bgColor rgb="FF16A34A"/>
        </patternFill>
      </fill>
      <border>
        <left style="thin">
          <color rgb="FF15803D"/>
        </left>
        <right style="thin">
          <color rgb="FF15803D"/>
        </right>
        <top style="thin">
          <color rgb="FF15803D"/>
        </top>
        <bottom style="thin">
          <color rgb="FF15803D"/>
        </bottom>
        <vertical/>
        <horizontal/>
      </border>
    </dxf>
    <dxf>
      <font>
        <b/>
        <color rgb="FFFFFFFF"/>
      </font>
      <fill>
        <patternFill>
          <bgColor rgb="FF9CA3AF"/>
        </patternFill>
      </fill>
      <border>
        <left style="thin">
          <color rgb="FF6B7280"/>
        </left>
        <right style="thin">
          <color rgb="FF6B7280"/>
        </right>
        <top style="thin">
          <color rgb="FF6B7280"/>
        </top>
        <bottom style="thin">
          <color rgb="FF6B7280"/>
        </bottom>
        <vertical/>
        <horizontal/>
      </border>
    </dxf>
    <dxf>
      <font>
        <b/>
        <color rgb="FFDC2626"/>
      </font>
      <fill>
        <patternFill>
          <bgColor rgb="FFFEF2F2"/>
        </patternFill>
      </fill>
    </dxf>
    <dxf>
      <font>
        <b/>
        <color rgb="FFD97706"/>
      </font>
      <fill>
        <patternFill>
          <bgColor rgb="FFFFFBEB"/>
        </patternFill>
      </fill>
    </dxf>
    <dxf>
      <font>
        <b/>
        <color rgb="FF15803D"/>
      </font>
      <fill>
        <patternFill>
          <bgColor rgb="FFF0FDF4"/>
        </patternFill>
      </fill>
    </dxf>
    <dxf>
      <font>
        <b/>
        <color rgb="FF6B7280"/>
      </font>
      <fill>
        <patternFill>
          <bgColor rgb="FFF9FAF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7"/>
  <sheetViews>
    <sheetView tabSelected="1"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22.7109375" customWidth="1"/>
    <col min="4" max="4" width="30.7109375" customWidth="1"/>
    <col min="5" max="6" width="7.7109375" customWidth="1"/>
    <col min="7" max="7" width="8.7109375" customWidth="1"/>
    <col min="8" max="8" width="11.7109375" customWidth="1"/>
    <col min="9" max="9" width="26.7109375" customWidth="1"/>
    <col min="10" max="11" width="7.7109375" customWidth="1"/>
    <col min="12" max="12" width="8.7109375" customWidth="1"/>
    <col min="13" max="13" width="11.7109375" customWidth="1"/>
    <col min="14" max="14" width="16.7109375" customWidth="1"/>
    <col min="15" max="15" width="14.7109375" customWidth="1"/>
    <col min="16" max="17" width="12.7109375" customWidth="1"/>
  </cols>
  <sheetData>
    <row r="1" spans="1:17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2"/>
      <c r="P1" s="2"/>
      <c r="Q1" s="2"/>
    </row>
    <row r="2" spans="1:17" ht="22" customHeight="1">
      <c r="A2" s="3" t="s">
        <v>2</v>
      </c>
      <c r="B2" s="3"/>
      <c r="C2" s="4" t="s">
        <v>3</v>
      </c>
      <c r="D2" s="4"/>
      <c r="E2" s="4"/>
      <c r="F2" s="4"/>
      <c r="G2" s="5" t="s">
        <v>4</v>
      </c>
      <c r="H2" s="5"/>
      <c r="I2" s="6" t="s">
        <v>5</v>
      </c>
      <c r="J2" s="5" t="s">
        <v>6</v>
      </c>
      <c r="K2" s="5"/>
      <c r="L2" s="4" t="s">
        <v>7</v>
      </c>
      <c r="M2" s="4"/>
      <c r="N2" s="5" t="s">
        <v>8</v>
      </c>
      <c r="O2" s="5"/>
      <c r="P2" s="4" t="s">
        <v>9</v>
      </c>
      <c r="Q2" s="4"/>
    </row>
    <row r="3" spans="1:17" ht="20" customHeight="1">
      <c r="A3" s="7" t="s">
        <v>10</v>
      </c>
      <c r="B3" s="6">
        <f>COUNTA(C5:C204)</f>
        <v>0</v>
      </c>
      <c r="C3" s="7" t="s">
        <v>11</v>
      </c>
      <c r="D3" s="8">
        <f>COUNTIF(H5:H204,"Kritiek")</f>
        <v>0</v>
      </c>
      <c r="E3" s="7" t="s">
        <v>12</v>
      </c>
      <c r="F3" s="9">
        <f>COUNTIF(H5:H204,"Hoog")</f>
        <v>0</v>
      </c>
      <c r="G3" s="7" t="s">
        <v>13</v>
      </c>
      <c r="H3" s="10">
        <f>COUNTIF(M5:M204,"Laag")</f>
        <v>0</v>
      </c>
      <c r="I3" s="7" t="s">
        <v>14</v>
      </c>
      <c r="J3" s="6">
        <f>IFERROR(AVERAGEIF(L5:L204,"&gt;0",L5:L204),"-")</f>
        <v>0</v>
      </c>
      <c r="K3" s="7" t="s">
        <v>15</v>
      </c>
      <c r="L3" s="8">
        <f>COUNTIF(Q5:Q204,"Open")</f>
        <v>0</v>
      </c>
      <c r="M3" s="7" t="s">
        <v>16</v>
      </c>
      <c r="N3" s="10">
        <f>COUNTIF(Q5:Q204,"Afgerond")</f>
        <v>0</v>
      </c>
      <c r="O3" s="7"/>
      <c r="P3" s="7"/>
      <c r="Q3" s="7"/>
    </row>
    <row r="4" spans="1:17" ht="34" customHeight="1">
      <c r="A4" s="11" t="s">
        <v>17</v>
      </c>
      <c r="B4" s="11" t="s">
        <v>18</v>
      </c>
      <c r="C4" s="11" t="s">
        <v>19</v>
      </c>
      <c r="D4" s="11" t="s">
        <v>20</v>
      </c>
      <c r="E4" s="12" t="s">
        <v>21</v>
      </c>
      <c r="F4" s="12" t="s">
        <v>22</v>
      </c>
      <c r="G4" s="12" t="s">
        <v>23</v>
      </c>
      <c r="H4" s="12" t="s">
        <v>24</v>
      </c>
      <c r="I4" s="11" t="s">
        <v>25</v>
      </c>
      <c r="J4" s="13" t="s">
        <v>26</v>
      </c>
      <c r="K4" s="13" t="s">
        <v>27</v>
      </c>
      <c r="L4" s="13" t="s">
        <v>28</v>
      </c>
      <c r="M4" s="13" t="s">
        <v>29</v>
      </c>
      <c r="N4" s="11" t="s">
        <v>30</v>
      </c>
      <c r="O4" s="11" t="s">
        <v>31</v>
      </c>
      <c r="P4" s="11" t="s">
        <v>32</v>
      </c>
      <c r="Q4" s="11" t="s">
        <v>33</v>
      </c>
    </row>
    <row r="5" spans="1:17" ht="18" customHeight="1">
      <c r="A5" s="14" t="s">
        <v>34</v>
      </c>
      <c r="B5" s="15"/>
      <c r="C5" s="15"/>
      <c r="D5" s="16"/>
      <c r="E5" s="17"/>
      <c r="F5" s="17"/>
      <c r="G5" s="18">
        <f>IF(AND(ISNUMBER(E5),ISNUMBER(F5)),E5*F5,"")</f>
        <v>0</v>
      </c>
      <c r="H5" s="19">
        <f>IF(G5="","",IF(G5&gt;=15,"Kritiek",IF(G5&gt;=8,"Hoog",IF(G5&gt;=4,"Middel","Laag"))))</f>
        <v>0</v>
      </c>
      <c r="I5" s="16"/>
      <c r="J5" s="17"/>
      <c r="K5" s="17"/>
      <c r="L5" s="18">
        <f>IF(AND(ISNUMBER(J5),ISNUMBER(K5)),J5*K5,"")</f>
        <v>0</v>
      </c>
      <c r="M5" s="19">
        <f>IF(L5="","",IF(L5&gt;=15,"Kritiek",IF(L5&gt;=8,"Hoog",IF(L5&gt;=4,"Middel","Laag"))))</f>
        <v>0</v>
      </c>
      <c r="N5" s="15"/>
      <c r="O5" s="20"/>
      <c r="P5" s="20"/>
      <c r="Q5" s="20"/>
    </row>
    <row r="6" spans="1:17" ht="18" customHeight="1">
      <c r="A6" s="21" t="s">
        <v>35</v>
      </c>
      <c r="B6" s="22"/>
      <c r="C6" s="22"/>
      <c r="D6" s="23"/>
      <c r="E6" s="24"/>
      <c r="F6" s="24"/>
      <c r="G6" s="25">
        <f>IF(AND(ISNUMBER(E6),ISNUMBER(F6)),E6*F6,"")</f>
        <v>0</v>
      </c>
      <c r="H6" s="26">
        <f>IF(G6="","",IF(G6&gt;=15,"Kritiek",IF(G6&gt;=8,"Hoog",IF(G6&gt;=4,"Middel","Laag"))))</f>
        <v>0</v>
      </c>
      <c r="I6" s="23"/>
      <c r="J6" s="24"/>
      <c r="K6" s="24"/>
      <c r="L6" s="25">
        <f>IF(AND(ISNUMBER(J6),ISNUMBER(K6)),J6*K6,"")</f>
        <v>0</v>
      </c>
      <c r="M6" s="26">
        <f>IF(L6="","",IF(L6&gt;=15,"Kritiek",IF(L6&gt;=8,"Hoog",IF(L6&gt;=4,"Middel","Laag"))))</f>
        <v>0</v>
      </c>
      <c r="N6" s="22"/>
      <c r="O6" s="27"/>
      <c r="P6" s="27"/>
      <c r="Q6" s="27"/>
    </row>
    <row r="7" spans="1:17" ht="18" customHeight="1">
      <c r="A7" s="14" t="s">
        <v>36</v>
      </c>
      <c r="B7" s="15"/>
      <c r="C7" s="15"/>
      <c r="D7" s="16"/>
      <c r="E7" s="17"/>
      <c r="F7" s="17"/>
      <c r="G7" s="18">
        <f>IF(AND(ISNUMBER(E7),ISNUMBER(F7)),E7*F7,"")</f>
        <v>0</v>
      </c>
      <c r="H7" s="19">
        <f>IF(G7="","",IF(G7&gt;=15,"Kritiek",IF(G7&gt;=8,"Hoog",IF(G7&gt;=4,"Middel","Laag"))))</f>
        <v>0</v>
      </c>
      <c r="I7" s="16"/>
      <c r="J7" s="17"/>
      <c r="K7" s="17"/>
      <c r="L7" s="18">
        <f>IF(AND(ISNUMBER(J7),ISNUMBER(K7)),J7*K7,"")</f>
        <v>0</v>
      </c>
      <c r="M7" s="19">
        <f>IF(L7="","",IF(L7&gt;=15,"Kritiek",IF(L7&gt;=8,"Hoog",IF(L7&gt;=4,"Middel","Laag"))))</f>
        <v>0</v>
      </c>
      <c r="N7" s="15"/>
      <c r="O7" s="20"/>
      <c r="P7" s="20"/>
      <c r="Q7" s="20"/>
    </row>
    <row r="8" spans="1:17" ht="18" customHeight="1">
      <c r="A8" s="21" t="s">
        <v>37</v>
      </c>
      <c r="B8" s="22"/>
      <c r="C8" s="22"/>
      <c r="D8" s="23"/>
      <c r="E8" s="24"/>
      <c r="F8" s="24"/>
      <c r="G8" s="25">
        <f>IF(AND(ISNUMBER(E8),ISNUMBER(F8)),E8*F8,"")</f>
        <v>0</v>
      </c>
      <c r="H8" s="26">
        <f>IF(G8="","",IF(G8&gt;=15,"Kritiek",IF(G8&gt;=8,"Hoog",IF(G8&gt;=4,"Middel","Laag"))))</f>
        <v>0</v>
      </c>
      <c r="I8" s="23"/>
      <c r="J8" s="24"/>
      <c r="K8" s="24"/>
      <c r="L8" s="25">
        <f>IF(AND(ISNUMBER(J8),ISNUMBER(K8)),J8*K8,"")</f>
        <v>0</v>
      </c>
      <c r="M8" s="26">
        <f>IF(L8="","",IF(L8&gt;=15,"Kritiek",IF(L8&gt;=8,"Hoog",IF(L8&gt;=4,"Middel","Laag"))))</f>
        <v>0</v>
      </c>
      <c r="N8" s="22"/>
      <c r="O8" s="27"/>
      <c r="P8" s="27"/>
      <c r="Q8" s="27"/>
    </row>
    <row r="9" spans="1:17" ht="18" customHeight="1">
      <c r="A9" s="14" t="s">
        <v>38</v>
      </c>
      <c r="B9" s="15"/>
      <c r="C9" s="15"/>
      <c r="D9" s="16"/>
      <c r="E9" s="17"/>
      <c r="F9" s="17"/>
      <c r="G9" s="18">
        <f>IF(AND(ISNUMBER(E9),ISNUMBER(F9)),E9*F9,"")</f>
        <v>0</v>
      </c>
      <c r="H9" s="19">
        <f>IF(G9="","",IF(G9&gt;=15,"Kritiek",IF(G9&gt;=8,"Hoog",IF(G9&gt;=4,"Middel","Laag"))))</f>
        <v>0</v>
      </c>
      <c r="I9" s="16"/>
      <c r="J9" s="17"/>
      <c r="K9" s="17"/>
      <c r="L9" s="18">
        <f>IF(AND(ISNUMBER(J9),ISNUMBER(K9)),J9*K9,"")</f>
        <v>0</v>
      </c>
      <c r="M9" s="19">
        <f>IF(L9="","",IF(L9&gt;=15,"Kritiek",IF(L9&gt;=8,"Hoog",IF(L9&gt;=4,"Middel","Laag"))))</f>
        <v>0</v>
      </c>
      <c r="N9" s="15"/>
      <c r="O9" s="20"/>
      <c r="P9" s="20"/>
      <c r="Q9" s="20"/>
    </row>
    <row r="10" spans="1:17" ht="18" customHeight="1">
      <c r="A10" s="21" t="s">
        <v>39</v>
      </c>
      <c r="B10" s="22"/>
      <c r="C10" s="22"/>
      <c r="D10" s="23"/>
      <c r="E10" s="24"/>
      <c r="F10" s="24"/>
      <c r="G10" s="25">
        <f>IF(AND(ISNUMBER(E10),ISNUMBER(F10)),E10*F10,"")</f>
        <v>0</v>
      </c>
      <c r="H10" s="26">
        <f>IF(G10="","",IF(G10&gt;=15,"Kritiek",IF(G10&gt;=8,"Hoog",IF(G10&gt;=4,"Middel","Laag"))))</f>
        <v>0</v>
      </c>
      <c r="I10" s="23"/>
      <c r="J10" s="24"/>
      <c r="K10" s="24"/>
      <c r="L10" s="25">
        <f>IF(AND(ISNUMBER(J10),ISNUMBER(K10)),J10*K10,"")</f>
        <v>0</v>
      </c>
      <c r="M10" s="26">
        <f>IF(L10="","",IF(L10&gt;=15,"Kritiek",IF(L10&gt;=8,"Hoog",IF(L10&gt;=4,"Middel","Laag"))))</f>
        <v>0</v>
      </c>
      <c r="N10" s="22"/>
      <c r="O10" s="27"/>
      <c r="P10" s="27"/>
      <c r="Q10" s="27"/>
    </row>
    <row r="11" spans="1:17" ht="18" customHeight="1">
      <c r="A11" s="14" t="s">
        <v>40</v>
      </c>
      <c r="B11" s="15"/>
      <c r="C11" s="15"/>
      <c r="D11" s="16"/>
      <c r="E11" s="17"/>
      <c r="F11" s="17"/>
      <c r="G11" s="18">
        <f>IF(AND(ISNUMBER(E11),ISNUMBER(F11)),E11*F11,"")</f>
        <v>0</v>
      </c>
      <c r="H11" s="19">
        <f>IF(G11="","",IF(G11&gt;=15,"Kritiek",IF(G11&gt;=8,"Hoog",IF(G11&gt;=4,"Middel","Laag"))))</f>
        <v>0</v>
      </c>
      <c r="I11" s="16"/>
      <c r="J11" s="17"/>
      <c r="K11" s="17"/>
      <c r="L11" s="18">
        <f>IF(AND(ISNUMBER(J11),ISNUMBER(K11)),J11*K11,"")</f>
        <v>0</v>
      </c>
      <c r="M11" s="19">
        <f>IF(L11="","",IF(L11&gt;=15,"Kritiek",IF(L11&gt;=8,"Hoog",IF(L11&gt;=4,"Middel","Laag"))))</f>
        <v>0</v>
      </c>
      <c r="N11" s="15"/>
      <c r="O11" s="20"/>
      <c r="P11" s="20"/>
      <c r="Q11" s="20"/>
    </row>
    <row r="12" spans="1:17" ht="18" customHeight="1">
      <c r="A12" s="21" t="s">
        <v>41</v>
      </c>
      <c r="B12" s="22"/>
      <c r="C12" s="22"/>
      <c r="D12" s="23"/>
      <c r="E12" s="24"/>
      <c r="F12" s="24"/>
      <c r="G12" s="25">
        <f>IF(AND(ISNUMBER(E12),ISNUMBER(F12)),E12*F12,"")</f>
        <v>0</v>
      </c>
      <c r="H12" s="26">
        <f>IF(G12="","",IF(G12&gt;=15,"Kritiek",IF(G12&gt;=8,"Hoog",IF(G12&gt;=4,"Middel","Laag"))))</f>
        <v>0</v>
      </c>
      <c r="I12" s="23"/>
      <c r="J12" s="24"/>
      <c r="K12" s="24"/>
      <c r="L12" s="25">
        <f>IF(AND(ISNUMBER(J12),ISNUMBER(K12)),J12*K12,"")</f>
        <v>0</v>
      </c>
      <c r="M12" s="26">
        <f>IF(L12="","",IF(L12&gt;=15,"Kritiek",IF(L12&gt;=8,"Hoog",IF(L12&gt;=4,"Middel","Laag"))))</f>
        <v>0</v>
      </c>
      <c r="N12" s="22"/>
      <c r="O12" s="27"/>
      <c r="P12" s="27"/>
      <c r="Q12" s="27"/>
    </row>
    <row r="13" spans="1:17" ht="18" customHeight="1">
      <c r="A13" s="14" t="s">
        <v>42</v>
      </c>
      <c r="B13" s="15"/>
      <c r="C13" s="15"/>
      <c r="D13" s="16"/>
      <c r="E13" s="17"/>
      <c r="F13" s="17"/>
      <c r="G13" s="18">
        <f>IF(AND(ISNUMBER(E13),ISNUMBER(F13)),E13*F13,"")</f>
        <v>0</v>
      </c>
      <c r="H13" s="19">
        <f>IF(G13="","",IF(G13&gt;=15,"Kritiek",IF(G13&gt;=8,"Hoog",IF(G13&gt;=4,"Middel","Laag"))))</f>
        <v>0</v>
      </c>
      <c r="I13" s="16"/>
      <c r="J13" s="17"/>
      <c r="K13" s="17"/>
      <c r="L13" s="18">
        <f>IF(AND(ISNUMBER(J13),ISNUMBER(K13)),J13*K13,"")</f>
        <v>0</v>
      </c>
      <c r="M13" s="19">
        <f>IF(L13="","",IF(L13&gt;=15,"Kritiek",IF(L13&gt;=8,"Hoog",IF(L13&gt;=4,"Middel","Laag"))))</f>
        <v>0</v>
      </c>
      <c r="N13" s="15"/>
      <c r="O13" s="20"/>
      <c r="P13" s="20"/>
      <c r="Q13" s="20"/>
    </row>
    <row r="14" spans="1:17" ht="18" customHeight="1">
      <c r="A14" s="21" t="s">
        <v>43</v>
      </c>
      <c r="B14" s="22"/>
      <c r="C14" s="22"/>
      <c r="D14" s="23"/>
      <c r="E14" s="24"/>
      <c r="F14" s="24"/>
      <c r="G14" s="25">
        <f>IF(AND(ISNUMBER(E14),ISNUMBER(F14)),E14*F14,"")</f>
        <v>0</v>
      </c>
      <c r="H14" s="26">
        <f>IF(G14="","",IF(G14&gt;=15,"Kritiek",IF(G14&gt;=8,"Hoog",IF(G14&gt;=4,"Middel","Laag"))))</f>
        <v>0</v>
      </c>
      <c r="I14" s="23"/>
      <c r="J14" s="24"/>
      <c r="K14" s="24"/>
      <c r="L14" s="25">
        <f>IF(AND(ISNUMBER(J14),ISNUMBER(K14)),J14*K14,"")</f>
        <v>0</v>
      </c>
      <c r="M14" s="26">
        <f>IF(L14="","",IF(L14&gt;=15,"Kritiek",IF(L14&gt;=8,"Hoog",IF(L14&gt;=4,"Middel","Laag"))))</f>
        <v>0</v>
      </c>
      <c r="N14" s="22"/>
      <c r="O14" s="27"/>
      <c r="P14" s="27"/>
      <c r="Q14" s="27"/>
    </row>
    <row r="15" spans="1:17" ht="18" customHeight="1">
      <c r="A15" s="14" t="s">
        <v>44</v>
      </c>
      <c r="B15" s="15"/>
      <c r="C15" s="15"/>
      <c r="D15" s="16"/>
      <c r="E15" s="17"/>
      <c r="F15" s="17"/>
      <c r="G15" s="18">
        <f>IF(AND(ISNUMBER(E15),ISNUMBER(F15)),E15*F15,"")</f>
        <v>0</v>
      </c>
      <c r="H15" s="19">
        <f>IF(G15="","",IF(G15&gt;=15,"Kritiek",IF(G15&gt;=8,"Hoog",IF(G15&gt;=4,"Middel","Laag"))))</f>
        <v>0</v>
      </c>
      <c r="I15" s="16"/>
      <c r="J15" s="17"/>
      <c r="K15" s="17"/>
      <c r="L15" s="18">
        <f>IF(AND(ISNUMBER(J15),ISNUMBER(K15)),J15*K15,"")</f>
        <v>0</v>
      </c>
      <c r="M15" s="19">
        <f>IF(L15="","",IF(L15&gt;=15,"Kritiek",IF(L15&gt;=8,"Hoog",IF(L15&gt;=4,"Middel","Laag"))))</f>
        <v>0</v>
      </c>
      <c r="N15" s="15"/>
      <c r="O15" s="20"/>
      <c r="P15" s="20"/>
      <c r="Q15" s="20"/>
    </row>
    <row r="16" spans="1:17" ht="18" customHeight="1">
      <c r="A16" s="21" t="s">
        <v>45</v>
      </c>
      <c r="B16" s="22"/>
      <c r="C16" s="22"/>
      <c r="D16" s="23"/>
      <c r="E16" s="24"/>
      <c r="F16" s="24"/>
      <c r="G16" s="25">
        <f>IF(AND(ISNUMBER(E16),ISNUMBER(F16)),E16*F16,"")</f>
        <v>0</v>
      </c>
      <c r="H16" s="26">
        <f>IF(G16="","",IF(G16&gt;=15,"Kritiek",IF(G16&gt;=8,"Hoog",IF(G16&gt;=4,"Middel","Laag"))))</f>
        <v>0</v>
      </c>
      <c r="I16" s="23"/>
      <c r="J16" s="24"/>
      <c r="K16" s="24"/>
      <c r="L16" s="25">
        <f>IF(AND(ISNUMBER(J16),ISNUMBER(K16)),J16*K16,"")</f>
        <v>0</v>
      </c>
      <c r="M16" s="26">
        <f>IF(L16="","",IF(L16&gt;=15,"Kritiek",IF(L16&gt;=8,"Hoog",IF(L16&gt;=4,"Middel","Laag"))))</f>
        <v>0</v>
      </c>
      <c r="N16" s="22"/>
      <c r="O16" s="27"/>
      <c r="P16" s="27"/>
      <c r="Q16" s="27"/>
    </row>
    <row r="17" spans="1:17" ht="18" customHeight="1">
      <c r="A17" s="14" t="s">
        <v>46</v>
      </c>
      <c r="B17" s="15"/>
      <c r="C17" s="15"/>
      <c r="D17" s="16"/>
      <c r="E17" s="17"/>
      <c r="F17" s="17"/>
      <c r="G17" s="18">
        <f>IF(AND(ISNUMBER(E17),ISNUMBER(F17)),E17*F17,"")</f>
        <v>0</v>
      </c>
      <c r="H17" s="19">
        <f>IF(G17="","",IF(G17&gt;=15,"Kritiek",IF(G17&gt;=8,"Hoog",IF(G17&gt;=4,"Middel","Laag"))))</f>
        <v>0</v>
      </c>
      <c r="I17" s="16"/>
      <c r="J17" s="17"/>
      <c r="K17" s="17"/>
      <c r="L17" s="18">
        <f>IF(AND(ISNUMBER(J17),ISNUMBER(K17)),J17*K17,"")</f>
        <v>0</v>
      </c>
      <c r="M17" s="19">
        <f>IF(L17="","",IF(L17&gt;=15,"Kritiek",IF(L17&gt;=8,"Hoog",IF(L17&gt;=4,"Middel","Laag"))))</f>
        <v>0</v>
      </c>
      <c r="N17" s="15"/>
      <c r="O17" s="20"/>
      <c r="P17" s="20"/>
      <c r="Q17" s="20"/>
    </row>
    <row r="18" spans="1:17" ht="18" customHeight="1">
      <c r="A18" s="21" t="s">
        <v>47</v>
      </c>
      <c r="B18" s="22"/>
      <c r="C18" s="22"/>
      <c r="D18" s="23"/>
      <c r="E18" s="24"/>
      <c r="F18" s="24"/>
      <c r="G18" s="25">
        <f>IF(AND(ISNUMBER(E18),ISNUMBER(F18)),E18*F18,"")</f>
        <v>0</v>
      </c>
      <c r="H18" s="26">
        <f>IF(G18="","",IF(G18&gt;=15,"Kritiek",IF(G18&gt;=8,"Hoog",IF(G18&gt;=4,"Middel","Laag"))))</f>
        <v>0</v>
      </c>
      <c r="I18" s="23"/>
      <c r="J18" s="24"/>
      <c r="K18" s="24"/>
      <c r="L18" s="25">
        <f>IF(AND(ISNUMBER(J18),ISNUMBER(K18)),J18*K18,"")</f>
        <v>0</v>
      </c>
      <c r="M18" s="26">
        <f>IF(L18="","",IF(L18&gt;=15,"Kritiek",IF(L18&gt;=8,"Hoog",IF(L18&gt;=4,"Middel","Laag"))))</f>
        <v>0</v>
      </c>
      <c r="N18" s="22"/>
      <c r="O18" s="27"/>
      <c r="P18" s="27"/>
      <c r="Q18" s="27"/>
    </row>
    <row r="19" spans="1:17" ht="18" customHeight="1">
      <c r="A19" s="14" t="s">
        <v>48</v>
      </c>
      <c r="B19" s="15"/>
      <c r="C19" s="15"/>
      <c r="D19" s="16"/>
      <c r="E19" s="17"/>
      <c r="F19" s="17"/>
      <c r="G19" s="18">
        <f>IF(AND(ISNUMBER(E19),ISNUMBER(F19)),E19*F19,"")</f>
        <v>0</v>
      </c>
      <c r="H19" s="19">
        <f>IF(G19="","",IF(G19&gt;=15,"Kritiek",IF(G19&gt;=8,"Hoog",IF(G19&gt;=4,"Middel","Laag"))))</f>
        <v>0</v>
      </c>
      <c r="I19" s="16"/>
      <c r="J19" s="17"/>
      <c r="K19" s="17"/>
      <c r="L19" s="18">
        <f>IF(AND(ISNUMBER(J19),ISNUMBER(K19)),J19*K19,"")</f>
        <v>0</v>
      </c>
      <c r="M19" s="19">
        <f>IF(L19="","",IF(L19&gt;=15,"Kritiek",IF(L19&gt;=8,"Hoog",IF(L19&gt;=4,"Middel","Laag"))))</f>
        <v>0</v>
      </c>
      <c r="N19" s="15"/>
      <c r="O19" s="20"/>
      <c r="P19" s="20"/>
      <c r="Q19" s="20"/>
    </row>
    <row r="20" spans="1:17" ht="18" customHeight="1">
      <c r="A20" s="21" t="s">
        <v>49</v>
      </c>
      <c r="B20" s="22"/>
      <c r="C20" s="22"/>
      <c r="D20" s="23"/>
      <c r="E20" s="24"/>
      <c r="F20" s="24"/>
      <c r="G20" s="25">
        <f>IF(AND(ISNUMBER(E20),ISNUMBER(F20)),E20*F20,"")</f>
        <v>0</v>
      </c>
      <c r="H20" s="26">
        <f>IF(G20="","",IF(G20&gt;=15,"Kritiek",IF(G20&gt;=8,"Hoog",IF(G20&gt;=4,"Middel","Laag"))))</f>
        <v>0</v>
      </c>
      <c r="I20" s="23"/>
      <c r="J20" s="24"/>
      <c r="K20" s="24"/>
      <c r="L20" s="25">
        <f>IF(AND(ISNUMBER(J20),ISNUMBER(K20)),J20*K20,"")</f>
        <v>0</v>
      </c>
      <c r="M20" s="26">
        <f>IF(L20="","",IF(L20&gt;=15,"Kritiek",IF(L20&gt;=8,"Hoog",IF(L20&gt;=4,"Middel","Laag"))))</f>
        <v>0</v>
      </c>
      <c r="N20" s="22"/>
      <c r="O20" s="27"/>
      <c r="P20" s="27"/>
      <c r="Q20" s="27"/>
    </row>
    <row r="21" spans="1:17" ht="18" customHeight="1">
      <c r="A21" s="14" t="s">
        <v>50</v>
      </c>
      <c r="B21" s="15"/>
      <c r="C21" s="15"/>
      <c r="D21" s="16"/>
      <c r="E21" s="17"/>
      <c r="F21" s="17"/>
      <c r="G21" s="18">
        <f>IF(AND(ISNUMBER(E21),ISNUMBER(F21)),E21*F21,"")</f>
        <v>0</v>
      </c>
      <c r="H21" s="19">
        <f>IF(G21="","",IF(G21&gt;=15,"Kritiek",IF(G21&gt;=8,"Hoog",IF(G21&gt;=4,"Middel","Laag"))))</f>
        <v>0</v>
      </c>
      <c r="I21" s="16"/>
      <c r="J21" s="17"/>
      <c r="K21" s="17"/>
      <c r="L21" s="18">
        <f>IF(AND(ISNUMBER(J21),ISNUMBER(K21)),J21*K21,"")</f>
        <v>0</v>
      </c>
      <c r="M21" s="19">
        <f>IF(L21="","",IF(L21&gt;=15,"Kritiek",IF(L21&gt;=8,"Hoog",IF(L21&gt;=4,"Middel","Laag"))))</f>
        <v>0</v>
      </c>
      <c r="N21" s="15"/>
      <c r="O21" s="20"/>
      <c r="P21" s="20"/>
      <c r="Q21" s="20"/>
    </row>
    <row r="22" spans="1:17" ht="18" customHeight="1">
      <c r="A22" s="21" t="s">
        <v>51</v>
      </c>
      <c r="B22" s="22"/>
      <c r="C22" s="22"/>
      <c r="D22" s="23"/>
      <c r="E22" s="24"/>
      <c r="F22" s="24"/>
      <c r="G22" s="25">
        <f>IF(AND(ISNUMBER(E22),ISNUMBER(F22)),E22*F22,"")</f>
        <v>0</v>
      </c>
      <c r="H22" s="26">
        <f>IF(G22="","",IF(G22&gt;=15,"Kritiek",IF(G22&gt;=8,"Hoog",IF(G22&gt;=4,"Middel","Laag"))))</f>
        <v>0</v>
      </c>
      <c r="I22" s="23"/>
      <c r="J22" s="24"/>
      <c r="K22" s="24"/>
      <c r="L22" s="25">
        <f>IF(AND(ISNUMBER(J22),ISNUMBER(K22)),J22*K22,"")</f>
        <v>0</v>
      </c>
      <c r="M22" s="26">
        <f>IF(L22="","",IF(L22&gt;=15,"Kritiek",IF(L22&gt;=8,"Hoog",IF(L22&gt;=4,"Middel","Laag"))))</f>
        <v>0</v>
      </c>
      <c r="N22" s="22"/>
      <c r="O22" s="27"/>
      <c r="P22" s="27"/>
      <c r="Q22" s="27"/>
    </row>
    <row r="23" spans="1:17" ht="18" customHeight="1">
      <c r="A23" s="14" t="s">
        <v>52</v>
      </c>
      <c r="B23" s="15"/>
      <c r="C23" s="15"/>
      <c r="D23" s="16"/>
      <c r="E23" s="17"/>
      <c r="F23" s="17"/>
      <c r="G23" s="18">
        <f>IF(AND(ISNUMBER(E23),ISNUMBER(F23)),E23*F23,"")</f>
        <v>0</v>
      </c>
      <c r="H23" s="19">
        <f>IF(G23="","",IF(G23&gt;=15,"Kritiek",IF(G23&gt;=8,"Hoog",IF(G23&gt;=4,"Middel","Laag"))))</f>
        <v>0</v>
      </c>
      <c r="I23" s="16"/>
      <c r="J23" s="17"/>
      <c r="K23" s="17"/>
      <c r="L23" s="18">
        <f>IF(AND(ISNUMBER(J23),ISNUMBER(K23)),J23*K23,"")</f>
        <v>0</v>
      </c>
      <c r="M23" s="19">
        <f>IF(L23="","",IF(L23&gt;=15,"Kritiek",IF(L23&gt;=8,"Hoog",IF(L23&gt;=4,"Middel","Laag"))))</f>
        <v>0</v>
      </c>
      <c r="N23" s="15"/>
      <c r="O23" s="20"/>
      <c r="P23" s="20"/>
      <c r="Q23" s="20"/>
    </row>
    <row r="24" spans="1:17" ht="18" customHeight="1">
      <c r="A24" s="21" t="s">
        <v>53</v>
      </c>
      <c r="B24" s="22"/>
      <c r="C24" s="22"/>
      <c r="D24" s="23"/>
      <c r="E24" s="24"/>
      <c r="F24" s="24"/>
      <c r="G24" s="25">
        <f>IF(AND(ISNUMBER(E24),ISNUMBER(F24)),E24*F24,"")</f>
        <v>0</v>
      </c>
      <c r="H24" s="26">
        <f>IF(G24="","",IF(G24&gt;=15,"Kritiek",IF(G24&gt;=8,"Hoog",IF(G24&gt;=4,"Middel","Laag"))))</f>
        <v>0</v>
      </c>
      <c r="I24" s="23"/>
      <c r="J24" s="24"/>
      <c r="K24" s="24"/>
      <c r="L24" s="25">
        <f>IF(AND(ISNUMBER(J24),ISNUMBER(K24)),J24*K24,"")</f>
        <v>0</v>
      </c>
      <c r="M24" s="26">
        <f>IF(L24="","",IF(L24&gt;=15,"Kritiek",IF(L24&gt;=8,"Hoog",IF(L24&gt;=4,"Middel","Laag"))))</f>
        <v>0</v>
      </c>
      <c r="N24" s="22"/>
      <c r="O24" s="27"/>
      <c r="P24" s="27"/>
      <c r="Q24" s="27"/>
    </row>
    <row r="25" spans="1:17" ht="18" customHeight="1">
      <c r="A25" s="14" t="s">
        <v>54</v>
      </c>
      <c r="B25" s="15"/>
      <c r="C25" s="15"/>
      <c r="D25" s="16"/>
      <c r="E25" s="17"/>
      <c r="F25" s="17"/>
      <c r="G25" s="18">
        <f>IF(AND(ISNUMBER(E25),ISNUMBER(F25)),E25*F25,"")</f>
        <v>0</v>
      </c>
      <c r="H25" s="19">
        <f>IF(G25="","",IF(G25&gt;=15,"Kritiek",IF(G25&gt;=8,"Hoog",IF(G25&gt;=4,"Middel","Laag"))))</f>
        <v>0</v>
      </c>
      <c r="I25" s="16"/>
      <c r="J25" s="17"/>
      <c r="K25" s="17"/>
      <c r="L25" s="18">
        <f>IF(AND(ISNUMBER(J25),ISNUMBER(K25)),J25*K25,"")</f>
        <v>0</v>
      </c>
      <c r="M25" s="19">
        <f>IF(L25="","",IF(L25&gt;=15,"Kritiek",IF(L25&gt;=8,"Hoog",IF(L25&gt;=4,"Middel","Laag"))))</f>
        <v>0</v>
      </c>
      <c r="N25" s="15"/>
      <c r="O25" s="20"/>
      <c r="P25" s="20"/>
      <c r="Q25" s="20"/>
    </row>
    <row r="26" spans="1:17" ht="18" customHeight="1">
      <c r="A26" s="21" t="s">
        <v>55</v>
      </c>
      <c r="B26" s="22"/>
      <c r="C26" s="22"/>
      <c r="D26" s="23"/>
      <c r="E26" s="24"/>
      <c r="F26" s="24"/>
      <c r="G26" s="25">
        <f>IF(AND(ISNUMBER(E26),ISNUMBER(F26)),E26*F26,"")</f>
        <v>0</v>
      </c>
      <c r="H26" s="26">
        <f>IF(G26="","",IF(G26&gt;=15,"Kritiek",IF(G26&gt;=8,"Hoog",IF(G26&gt;=4,"Middel","Laag"))))</f>
        <v>0</v>
      </c>
      <c r="I26" s="23"/>
      <c r="J26" s="24"/>
      <c r="K26" s="24"/>
      <c r="L26" s="25">
        <f>IF(AND(ISNUMBER(J26),ISNUMBER(K26)),J26*K26,"")</f>
        <v>0</v>
      </c>
      <c r="M26" s="26">
        <f>IF(L26="","",IF(L26&gt;=15,"Kritiek",IF(L26&gt;=8,"Hoog",IF(L26&gt;=4,"Middel","Laag"))))</f>
        <v>0</v>
      </c>
      <c r="N26" s="22"/>
      <c r="O26" s="27"/>
      <c r="P26" s="27"/>
      <c r="Q26" s="27"/>
    </row>
    <row r="27" spans="1:17" ht="18" customHeight="1">
      <c r="A27" s="14" t="s">
        <v>56</v>
      </c>
      <c r="B27" s="15"/>
      <c r="C27" s="15"/>
      <c r="D27" s="16"/>
      <c r="E27" s="17"/>
      <c r="F27" s="17"/>
      <c r="G27" s="18">
        <f>IF(AND(ISNUMBER(E27),ISNUMBER(F27)),E27*F27,"")</f>
        <v>0</v>
      </c>
      <c r="H27" s="19">
        <f>IF(G27="","",IF(G27&gt;=15,"Kritiek",IF(G27&gt;=8,"Hoog",IF(G27&gt;=4,"Middel","Laag"))))</f>
        <v>0</v>
      </c>
      <c r="I27" s="16"/>
      <c r="J27" s="17"/>
      <c r="K27" s="17"/>
      <c r="L27" s="18">
        <f>IF(AND(ISNUMBER(J27),ISNUMBER(K27)),J27*K27,"")</f>
        <v>0</v>
      </c>
      <c r="M27" s="19">
        <f>IF(L27="","",IF(L27&gt;=15,"Kritiek",IF(L27&gt;=8,"Hoog",IF(L27&gt;=4,"Middel","Laag"))))</f>
        <v>0</v>
      </c>
      <c r="N27" s="15"/>
      <c r="O27" s="20"/>
      <c r="P27" s="20"/>
      <c r="Q27" s="20"/>
    </row>
    <row r="28" spans="1:17" ht="18" customHeight="1">
      <c r="A28" s="21" t="s">
        <v>57</v>
      </c>
      <c r="B28" s="22"/>
      <c r="C28" s="22"/>
      <c r="D28" s="23"/>
      <c r="E28" s="24"/>
      <c r="F28" s="24"/>
      <c r="G28" s="25">
        <f>IF(AND(ISNUMBER(E28),ISNUMBER(F28)),E28*F28,"")</f>
        <v>0</v>
      </c>
      <c r="H28" s="26">
        <f>IF(G28="","",IF(G28&gt;=15,"Kritiek",IF(G28&gt;=8,"Hoog",IF(G28&gt;=4,"Middel","Laag"))))</f>
        <v>0</v>
      </c>
      <c r="I28" s="23"/>
      <c r="J28" s="24"/>
      <c r="K28" s="24"/>
      <c r="L28" s="25">
        <f>IF(AND(ISNUMBER(J28),ISNUMBER(K28)),J28*K28,"")</f>
        <v>0</v>
      </c>
      <c r="M28" s="26">
        <f>IF(L28="","",IF(L28&gt;=15,"Kritiek",IF(L28&gt;=8,"Hoog",IF(L28&gt;=4,"Middel","Laag"))))</f>
        <v>0</v>
      </c>
      <c r="N28" s="22"/>
      <c r="O28" s="27"/>
      <c r="P28" s="27"/>
      <c r="Q28" s="27"/>
    </row>
    <row r="29" spans="1:17" ht="18" customHeight="1">
      <c r="A29" s="14" t="s">
        <v>58</v>
      </c>
      <c r="B29" s="15"/>
      <c r="C29" s="15"/>
      <c r="D29" s="16"/>
      <c r="E29" s="17"/>
      <c r="F29" s="17"/>
      <c r="G29" s="18">
        <f>IF(AND(ISNUMBER(E29),ISNUMBER(F29)),E29*F29,"")</f>
        <v>0</v>
      </c>
      <c r="H29" s="19">
        <f>IF(G29="","",IF(G29&gt;=15,"Kritiek",IF(G29&gt;=8,"Hoog",IF(G29&gt;=4,"Middel","Laag"))))</f>
        <v>0</v>
      </c>
      <c r="I29" s="16"/>
      <c r="J29" s="17"/>
      <c r="K29" s="17"/>
      <c r="L29" s="18">
        <f>IF(AND(ISNUMBER(J29),ISNUMBER(K29)),J29*K29,"")</f>
        <v>0</v>
      </c>
      <c r="M29" s="19">
        <f>IF(L29="","",IF(L29&gt;=15,"Kritiek",IF(L29&gt;=8,"Hoog",IF(L29&gt;=4,"Middel","Laag"))))</f>
        <v>0</v>
      </c>
      <c r="N29" s="15"/>
      <c r="O29" s="20"/>
      <c r="P29" s="20"/>
      <c r="Q29" s="20"/>
    </row>
    <row r="30" spans="1:17" ht="18" customHeight="1">
      <c r="A30" s="21" t="s">
        <v>59</v>
      </c>
      <c r="B30" s="22"/>
      <c r="C30" s="22"/>
      <c r="D30" s="23"/>
      <c r="E30" s="24"/>
      <c r="F30" s="24"/>
      <c r="G30" s="25">
        <f>IF(AND(ISNUMBER(E30),ISNUMBER(F30)),E30*F30,"")</f>
        <v>0</v>
      </c>
      <c r="H30" s="26">
        <f>IF(G30="","",IF(G30&gt;=15,"Kritiek",IF(G30&gt;=8,"Hoog",IF(G30&gt;=4,"Middel","Laag"))))</f>
        <v>0</v>
      </c>
      <c r="I30" s="23"/>
      <c r="J30" s="24"/>
      <c r="K30" s="24"/>
      <c r="L30" s="25">
        <f>IF(AND(ISNUMBER(J30),ISNUMBER(K30)),J30*K30,"")</f>
        <v>0</v>
      </c>
      <c r="M30" s="26">
        <f>IF(L30="","",IF(L30&gt;=15,"Kritiek",IF(L30&gt;=8,"Hoog",IF(L30&gt;=4,"Middel","Laag"))))</f>
        <v>0</v>
      </c>
      <c r="N30" s="22"/>
      <c r="O30" s="27"/>
      <c r="P30" s="27"/>
      <c r="Q30" s="27"/>
    </row>
    <row r="31" spans="1:17" ht="18" customHeight="1">
      <c r="A31" s="14" t="s">
        <v>60</v>
      </c>
      <c r="B31" s="15"/>
      <c r="C31" s="15"/>
      <c r="D31" s="16"/>
      <c r="E31" s="17"/>
      <c r="F31" s="17"/>
      <c r="G31" s="18">
        <f>IF(AND(ISNUMBER(E31),ISNUMBER(F31)),E31*F31,"")</f>
        <v>0</v>
      </c>
      <c r="H31" s="19">
        <f>IF(G31="","",IF(G31&gt;=15,"Kritiek",IF(G31&gt;=8,"Hoog",IF(G31&gt;=4,"Middel","Laag"))))</f>
        <v>0</v>
      </c>
      <c r="I31" s="16"/>
      <c r="J31" s="17"/>
      <c r="K31" s="17"/>
      <c r="L31" s="18">
        <f>IF(AND(ISNUMBER(J31),ISNUMBER(K31)),J31*K31,"")</f>
        <v>0</v>
      </c>
      <c r="M31" s="19">
        <f>IF(L31="","",IF(L31&gt;=15,"Kritiek",IF(L31&gt;=8,"Hoog",IF(L31&gt;=4,"Middel","Laag"))))</f>
        <v>0</v>
      </c>
      <c r="N31" s="15"/>
      <c r="O31" s="20"/>
      <c r="P31" s="20"/>
      <c r="Q31" s="20"/>
    </row>
    <row r="32" spans="1:17" ht="18" customHeight="1">
      <c r="A32" s="21" t="s">
        <v>61</v>
      </c>
      <c r="B32" s="22"/>
      <c r="C32" s="22"/>
      <c r="D32" s="23"/>
      <c r="E32" s="24"/>
      <c r="F32" s="24"/>
      <c r="G32" s="25">
        <f>IF(AND(ISNUMBER(E32),ISNUMBER(F32)),E32*F32,"")</f>
        <v>0</v>
      </c>
      <c r="H32" s="26">
        <f>IF(G32="","",IF(G32&gt;=15,"Kritiek",IF(G32&gt;=8,"Hoog",IF(G32&gt;=4,"Middel","Laag"))))</f>
        <v>0</v>
      </c>
      <c r="I32" s="23"/>
      <c r="J32" s="24"/>
      <c r="K32" s="24"/>
      <c r="L32" s="25">
        <f>IF(AND(ISNUMBER(J32),ISNUMBER(K32)),J32*K32,"")</f>
        <v>0</v>
      </c>
      <c r="M32" s="26">
        <f>IF(L32="","",IF(L32&gt;=15,"Kritiek",IF(L32&gt;=8,"Hoog",IF(L32&gt;=4,"Middel","Laag"))))</f>
        <v>0</v>
      </c>
      <c r="N32" s="22"/>
      <c r="O32" s="27"/>
      <c r="P32" s="27"/>
      <c r="Q32" s="27"/>
    </row>
    <row r="33" spans="1:17" ht="18" customHeight="1">
      <c r="A33" s="14" t="s">
        <v>62</v>
      </c>
      <c r="B33" s="15"/>
      <c r="C33" s="15"/>
      <c r="D33" s="16"/>
      <c r="E33" s="17"/>
      <c r="F33" s="17"/>
      <c r="G33" s="18">
        <f>IF(AND(ISNUMBER(E33),ISNUMBER(F33)),E33*F33,"")</f>
        <v>0</v>
      </c>
      <c r="H33" s="19">
        <f>IF(G33="","",IF(G33&gt;=15,"Kritiek",IF(G33&gt;=8,"Hoog",IF(G33&gt;=4,"Middel","Laag"))))</f>
        <v>0</v>
      </c>
      <c r="I33" s="16"/>
      <c r="J33" s="17"/>
      <c r="K33" s="17"/>
      <c r="L33" s="18">
        <f>IF(AND(ISNUMBER(J33),ISNUMBER(K33)),J33*K33,"")</f>
        <v>0</v>
      </c>
      <c r="M33" s="19">
        <f>IF(L33="","",IF(L33&gt;=15,"Kritiek",IF(L33&gt;=8,"Hoog",IF(L33&gt;=4,"Middel","Laag"))))</f>
        <v>0</v>
      </c>
      <c r="N33" s="15"/>
      <c r="O33" s="20"/>
      <c r="P33" s="20"/>
      <c r="Q33" s="20"/>
    </row>
    <row r="34" spans="1:17" ht="18" customHeight="1">
      <c r="A34" s="21" t="s">
        <v>63</v>
      </c>
      <c r="B34" s="22"/>
      <c r="C34" s="22"/>
      <c r="D34" s="23"/>
      <c r="E34" s="24"/>
      <c r="F34" s="24"/>
      <c r="G34" s="25">
        <f>IF(AND(ISNUMBER(E34),ISNUMBER(F34)),E34*F34,"")</f>
        <v>0</v>
      </c>
      <c r="H34" s="26">
        <f>IF(G34="","",IF(G34&gt;=15,"Kritiek",IF(G34&gt;=8,"Hoog",IF(G34&gt;=4,"Middel","Laag"))))</f>
        <v>0</v>
      </c>
      <c r="I34" s="23"/>
      <c r="J34" s="24"/>
      <c r="K34" s="24"/>
      <c r="L34" s="25">
        <f>IF(AND(ISNUMBER(J34),ISNUMBER(K34)),J34*K34,"")</f>
        <v>0</v>
      </c>
      <c r="M34" s="26">
        <f>IF(L34="","",IF(L34&gt;=15,"Kritiek",IF(L34&gt;=8,"Hoog",IF(L34&gt;=4,"Middel","Laag"))))</f>
        <v>0</v>
      </c>
      <c r="N34" s="22"/>
      <c r="O34" s="27"/>
      <c r="P34" s="27"/>
      <c r="Q34" s="27"/>
    </row>
    <row r="35" spans="1:17" ht="18" customHeight="1">
      <c r="A35" s="14" t="s">
        <v>64</v>
      </c>
      <c r="B35" s="15"/>
      <c r="C35" s="15"/>
      <c r="D35" s="16"/>
      <c r="E35" s="17"/>
      <c r="F35" s="17"/>
      <c r="G35" s="18">
        <f>IF(AND(ISNUMBER(E35),ISNUMBER(F35)),E35*F35,"")</f>
        <v>0</v>
      </c>
      <c r="H35" s="19">
        <f>IF(G35="","",IF(G35&gt;=15,"Kritiek",IF(G35&gt;=8,"Hoog",IF(G35&gt;=4,"Middel","Laag"))))</f>
        <v>0</v>
      </c>
      <c r="I35" s="16"/>
      <c r="J35" s="17"/>
      <c r="K35" s="17"/>
      <c r="L35" s="18">
        <f>IF(AND(ISNUMBER(J35),ISNUMBER(K35)),J35*K35,"")</f>
        <v>0</v>
      </c>
      <c r="M35" s="19">
        <f>IF(L35="","",IF(L35&gt;=15,"Kritiek",IF(L35&gt;=8,"Hoog",IF(L35&gt;=4,"Middel","Laag"))))</f>
        <v>0</v>
      </c>
      <c r="N35" s="15"/>
      <c r="O35" s="20"/>
      <c r="P35" s="20"/>
      <c r="Q35" s="20"/>
    </row>
    <row r="36" spans="1:17" ht="18" customHeight="1">
      <c r="A36" s="21" t="s">
        <v>65</v>
      </c>
      <c r="B36" s="22"/>
      <c r="C36" s="22"/>
      <c r="D36" s="23"/>
      <c r="E36" s="24"/>
      <c r="F36" s="24"/>
      <c r="G36" s="25">
        <f>IF(AND(ISNUMBER(E36),ISNUMBER(F36)),E36*F36,"")</f>
        <v>0</v>
      </c>
      <c r="H36" s="26">
        <f>IF(G36="","",IF(G36&gt;=15,"Kritiek",IF(G36&gt;=8,"Hoog",IF(G36&gt;=4,"Middel","Laag"))))</f>
        <v>0</v>
      </c>
      <c r="I36" s="23"/>
      <c r="J36" s="24"/>
      <c r="K36" s="24"/>
      <c r="L36" s="25">
        <f>IF(AND(ISNUMBER(J36),ISNUMBER(K36)),J36*K36,"")</f>
        <v>0</v>
      </c>
      <c r="M36" s="26">
        <f>IF(L36="","",IF(L36&gt;=15,"Kritiek",IF(L36&gt;=8,"Hoog",IF(L36&gt;=4,"Middel","Laag"))))</f>
        <v>0</v>
      </c>
      <c r="N36" s="22"/>
      <c r="O36" s="27"/>
      <c r="P36" s="27"/>
      <c r="Q36" s="27"/>
    </row>
    <row r="37" spans="1:17" ht="18" customHeight="1">
      <c r="A37" s="14" t="s">
        <v>66</v>
      </c>
      <c r="B37" s="15"/>
      <c r="C37" s="15"/>
      <c r="D37" s="16"/>
      <c r="E37" s="17"/>
      <c r="F37" s="17"/>
      <c r="G37" s="18">
        <f>IF(AND(ISNUMBER(E37),ISNUMBER(F37)),E37*F37,"")</f>
        <v>0</v>
      </c>
      <c r="H37" s="19">
        <f>IF(G37="","",IF(G37&gt;=15,"Kritiek",IF(G37&gt;=8,"Hoog",IF(G37&gt;=4,"Middel","Laag"))))</f>
        <v>0</v>
      </c>
      <c r="I37" s="16"/>
      <c r="J37" s="17"/>
      <c r="K37" s="17"/>
      <c r="L37" s="18">
        <f>IF(AND(ISNUMBER(J37),ISNUMBER(K37)),J37*K37,"")</f>
        <v>0</v>
      </c>
      <c r="M37" s="19">
        <f>IF(L37="","",IF(L37&gt;=15,"Kritiek",IF(L37&gt;=8,"Hoog",IF(L37&gt;=4,"Middel","Laag"))))</f>
        <v>0</v>
      </c>
      <c r="N37" s="15"/>
      <c r="O37" s="20"/>
      <c r="P37" s="20"/>
      <c r="Q37" s="20"/>
    </row>
    <row r="38" spans="1:17" ht="18" customHeight="1">
      <c r="A38" s="21" t="s">
        <v>67</v>
      </c>
      <c r="B38" s="22"/>
      <c r="C38" s="22"/>
      <c r="D38" s="23"/>
      <c r="E38" s="24"/>
      <c r="F38" s="24"/>
      <c r="G38" s="25">
        <f>IF(AND(ISNUMBER(E38),ISNUMBER(F38)),E38*F38,"")</f>
        <v>0</v>
      </c>
      <c r="H38" s="26">
        <f>IF(G38="","",IF(G38&gt;=15,"Kritiek",IF(G38&gt;=8,"Hoog",IF(G38&gt;=4,"Middel","Laag"))))</f>
        <v>0</v>
      </c>
      <c r="I38" s="23"/>
      <c r="J38" s="24"/>
      <c r="K38" s="24"/>
      <c r="L38" s="25">
        <f>IF(AND(ISNUMBER(J38),ISNUMBER(K38)),J38*K38,"")</f>
        <v>0</v>
      </c>
      <c r="M38" s="26">
        <f>IF(L38="","",IF(L38&gt;=15,"Kritiek",IF(L38&gt;=8,"Hoog",IF(L38&gt;=4,"Middel","Laag"))))</f>
        <v>0</v>
      </c>
      <c r="N38" s="22"/>
      <c r="O38" s="27"/>
      <c r="P38" s="27"/>
      <c r="Q38" s="27"/>
    </row>
    <row r="39" spans="1:17" ht="18" customHeight="1">
      <c r="A39" s="14" t="s">
        <v>68</v>
      </c>
      <c r="B39" s="15"/>
      <c r="C39" s="15"/>
      <c r="D39" s="16"/>
      <c r="E39" s="17"/>
      <c r="F39" s="17"/>
      <c r="G39" s="18">
        <f>IF(AND(ISNUMBER(E39),ISNUMBER(F39)),E39*F39,"")</f>
        <v>0</v>
      </c>
      <c r="H39" s="19">
        <f>IF(G39="","",IF(G39&gt;=15,"Kritiek",IF(G39&gt;=8,"Hoog",IF(G39&gt;=4,"Middel","Laag"))))</f>
        <v>0</v>
      </c>
      <c r="I39" s="16"/>
      <c r="J39" s="17"/>
      <c r="K39" s="17"/>
      <c r="L39" s="18">
        <f>IF(AND(ISNUMBER(J39),ISNUMBER(K39)),J39*K39,"")</f>
        <v>0</v>
      </c>
      <c r="M39" s="19">
        <f>IF(L39="","",IF(L39&gt;=15,"Kritiek",IF(L39&gt;=8,"Hoog",IF(L39&gt;=4,"Middel","Laag"))))</f>
        <v>0</v>
      </c>
      <c r="N39" s="15"/>
      <c r="O39" s="20"/>
      <c r="P39" s="20"/>
      <c r="Q39" s="20"/>
    </row>
    <row r="40" spans="1:17" ht="18" customHeight="1">
      <c r="A40" s="21" t="s">
        <v>69</v>
      </c>
      <c r="B40" s="22"/>
      <c r="C40" s="22"/>
      <c r="D40" s="23"/>
      <c r="E40" s="24"/>
      <c r="F40" s="24"/>
      <c r="G40" s="25">
        <f>IF(AND(ISNUMBER(E40),ISNUMBER(F40)),E40*F40,"")</f>
        <v>0</v>
      </c>
      <c r="H40" s="26">
        <f>IF(G40="","",IF(G40&gt;=15,"Kritiek",IF(G40&gt;=8,"Hoog",IF(G40&gt;=4,"Middel","Laag"))))</f>
        <v>0</v>
      </c>
      <c r="I40" s="23"/>
      <c r="J40" s="24"/>
      <c r="K40" s="24"/>
      <c r="L40" s="25">
        <f>IF(AND(ISNUMBER(J40),ISNUMBER(K40)),J40*K40,"")</f>
        <v>0</v>
      </c>
      <c r="M40" s="26">
        <f>IF(L40="","",IF(L40&gt;=15,"Kritiek",IF(L40&gt;=8,"Hoog",IF(L40&gt;=4,"Middel","Laag"))))</f>
        <v>0</v>
      </c>
      <c r="N40" s="22"/>
      <c r="O40" s="27"/>
      <c r="P40" s="27"/>
      <c r="Q40" s="27"/>
    </row>
    <row r="41" spans="1:17" ht="18" customHeight="1">
      <c r="A41" s="14" t="s">
        <v>70</v>
      </c>
      <c r="B41" s="15"/>
      <c r="C41" s="15"/>
      <c r="D41" s="16"/>
      <c r="E41" s="17"/>
      <c r="F41" s="17"/>
      <c r="G41" s="18">
        <f>IF(AND(ISNUMBER(E41),ISNUMBER(F41)),E41*F41,"")</f>
        <v>0</v>
      </c>
      <c r="H41" s="19">
        <f>IF(G41="","",IF(G41&gt;=15,"Kritiek",IF(G41&gt;=8,"Hoog",IF(G41&gt;=4,"Middel","Laag"))))</f>
        <v>0</v>
      </c>
      <c r="I41" s="16"/>
      <c r="J41" s="17"/>
      <c r="K41" s="17"/>
      <c r="L41" s="18">
        <f>IF(AND(ISNUMBER(J41),ISNUMBER(K41)),J41*K41,"")</f>
        <v>0</v>
      </c>
      <c r="M41" s="19">
        <f>IF(L41="","",IF(L41&gt;=15,"Kritiek",IF(L41&gt;=8,"Hoog",IF(L41&gt;=4,"Middel","Laag"))))</f>
        <v>0</v>
      </c>
      <c r="N41" s="15"/>
      <c r="O41" s="20"/>
      <c r="P41" s="20"/>
      <c r="Q41" s="20"/>
    </row>
    <row r="42" spans="1:17" ht="18" customHeight="1">
      <c r="A42" s="21" t="s">
        <v>71</v>
      </c>
      <c r="B42" s="22"/>
      <c r="C42" s="22"/>
      <c r="D42" s="23"/>
      <c r="E42" s="24"/>
      <c r="F42" s="24"/>
      <c r="G42" s="25">
        <f>IF(AND(ISNUMBER(E42),ISNUMBER(F42)),E42*F42,"")</f>
        <v>0</v>
      </c>
      <c r="H42" s="26">
        <f>IF(G42="","",IF(G42&gt;=15,"Kritiek",IF(G42&gt;=8,"Hoog",IF(G42&gt;=4,"Middel","Laag"))))</f>
        <v>0</v>
      </c>
      <c r="I42" s="23"/>
      <c r="J42" s="24"/>
      <c r="K42" s="24"/>
      <c r="L42" s="25">
        <f>IF(AND(ISNUMBER(J42),ISNUMBER(K42)),J42*K42,"")</f>
        <v>0</v>
      </c>
      <c r="M42" s="26">
        <f>IF(L42="","",IF(L42&gt;=15,"Kritiek",IF(L42&gt;=8,"Hoog",IF(L42&gt;=4,"Middel","Laag"))))</f>
        <v>0</v>
      </c>
      <c r="N42" s="22"/>
      <c r="O42" s="27"/>
      <c r="P42" s="27"/>
      <c r="Q42" s="27"/>
    </row>
    <row r="43" spans="1:17" ht="18" customHeight="1">
      <c r="A43" s="14" t="s">
        <v>72</v>
      </c>
      <c r="B43" s="15"/>
      <c r="C43" s="15"/>
      <c r="D43" s="16"/>
      <c r="E43" s="17"/>
      <c r="F43" s="17"/>
      <c r="G43" s="18">
        <f>IF(AND(ISNUMBER(E43),ISNUMBER(F43)),E43*F43,"")</f>
        <v>0</v>
      </c>
      <c r="H43" s="19">
        <f>IF(G43="","",IF(G43&gt;=15,"Kritiek",IF(G43&gt;=8,"Hoog",IF(G43&gt;=4,"Middel","Laag"))))</f>
        <v>0</v>
      </c>
      <c r="I43" s="16"/>
      <c r="J43" s="17"/>
      <c r="K43" s="17"/>
      <c r="L43" s="18">
        <f>IF(AND(ISNUMBER(J43),ISNUMBER(K43)),J43*K43,"")</f>
        <v>0</v>
      </c>
      <c r="M43" s="19">
        <f>IF(L43="","",IF(L43&gt;=15,"Kritiek",IF(L43&gt;=8,"Hoog",IF(L43&gt;=4,"Middel","Laag"))))</f>
        <v>0</v>
      </c>
      <c r="N43" s="15"/>
      <c r="O43" s="20"/>
      <c r="P43" s="20"/>
      <c r="Q43" s="20"/>
    </row>
    <row r="44" spans="1:17" ht="18" customHeight="1">
      <c r="A44" s="21" t="s">
        <v>73</v>
      </c>
      <c r="B44" s="22"/>
      <c r="C44" s="22"/>
      <c r="D44" s="23"/>
      <c r="E44" s="24"/>
      <c r="F44" s="24"/>
      <c r="G44" s="25">
        <f>IF(AND(ISNUMBER(E44),ISNUMBER(F44)),E44*F44,"")</f>
        <v>0</v>
      </c>
      <c r="H44" s="26">
        <f>IF(G44="","",IF(G44&gt;=15,"Kritiek",IF(G44&gt;=8,"Hoog",IF(G44&gt;=4,"Middel","Laag"))))</f>
        <v>0</v>
      </c>
      <c r="I44" s="23"/>
      <c r="J44" s="24"/>
      <c r="K44" s="24"/>
      <c r="L44" s="25">
        <f>IF(AND(ISNUMBER(J44),ISNUMBER(K44)),J44*K44,"")</f>
        <v>0</v>
      </c>
      <c r="M44" s="26">
        <f>IF(L44="","",IF(L44&gt;=15,"Kritiek",IF(L44&gt;=8,"Hoog",IF(L44&gt;=4,"Middel","Laag"))))</f>
        <v>0</v>
      </c>
      <c r="N44" s="22"/>
      <c r="O44" s="27"/>
      <c r="P44" s="27"/>
      <c r="Q44" s="27"/>
    </row>
    <row r="45" spans="1:17" ht="18" customHeight="1">
      <c r="A45" s="14" t="s">
        <v>74</v>
      </c>
      <c r="B45" s="15"/>
      <c r="C45" s="15"/>
      <c r="D45" s="16"/>
      <c r="E45" s="17"/>
      <c r="F45" s="17"/>
      <c r="G45" s="18">
        <f>IF(AND(ISNUMBER(E45),ISNUMBER(F45)),E45*F45,"")</f>
        <v>0</v>
      </c>
      <c r="H45" s="19">
        <f>IF(G45="","",IF(G45&gt;=15,"Kritiek",IF(G45&gt;=8,"Hoog",IF(G45&gt;=4,"Middel","Laag"))))</f>
        <v>0</v>
      </c>
      <c r="I45" s="16"/>
      <c r="J45" s="17"/>
      <c r="K45" s="17"/>
      <c r="L45" s="18">
        <f>IF(AND(ISNUMBER(J45),ISNUMBER(K45)),J45*K45,"")</f>
        <v>0</v>
      </c>
      <c r="M45" s="19">
        <f>IF(L45="","",IF(L45&gt;=15,"Kritiek",IF(L45&gt;=8,"Hoog",IF(L45&gt;=4,"Middel","Laag"))))</f>
        <v>0</v>
      </c>
      <c r="N45" s="15"/>
      <c r="O45" s="20"/>
      <c r="P45" s="20"/>
      <c r="Q45" s="20"/>
    </row>
    <row r="46" spans="1:17" ht="18" customHeight="1">
      <c r="A46" s="21" t="s">
        <v>75</v>
      </c>
      <c r="B46" s="22"/>
      <c r="C46" s="22"/>
      <c r="D46" s="23"/>
      <c r="E46" s="24"/>
      <c r="F46" s="24"/>
      <c r="G46" s="25">
        <f>IF(AND(ISNUMBER(E46),ISNUMBER(F46)),E46*F46,"")</f>
        <v>0</v>
      </c>
      <c r="H46" s="26">
        <f>IF(G46="","",IF(G46&gt;=15,"Kritiek",IF(G46&gt;=8,"Hoog",IF(G46&gt;=4,"Middel","Laag"))))</f>
        <v>0</v>
      </c>
      <c r="I46" s="23"/>
      <c r="J46" s="24"/>
      <c r="K46" s="24"/>
      <c r="L46" s="25">
        <f>IF(AND(ISNUMBER(J46),ISNUMBER(K46)),J46*K46,"")</f>
        <v>0</v>
      </c>
      <c r="M46" s="26">
        <f>IF(L46="","",IF(L46&gt;=15,"Kritiek",IF(L46&gt;=8,"Hoog",IF(L46&gt;=4,"Middel","Laag"))))</f>
        <v>0</v>
      </c>
      <c r="N46" s="22"/>
      <c r="O46" s="27"/>
      <c r="P46" s="27"/>
      <c r="Q46" s="27"/>
    </row>
    <row r="47" spans="1:17" ht="18" customHeight="1">
      <c r="A47" s="14" t="s">
        <v>76</v>
      </c>
      <c r="B47" s="15"/>
      <c r="C47" s="15"/>
      <c r="D47" s="16"/>
      <c r="E47" s="17"/>
      <c r="F47" s="17"/>
      <c r="G47" s="18">
        <f>IF(AND(ISNUMBER(E47),ISNUMBER(F47)),E47*F47,"")</f>
        <v>0</v>
      </c>
      <c r="H47" s="19">
        <f>IF(G47="","",IF(G47&gt;=15,"Kritiek",IF(G47&gt;=8,"Hoog",IF(G47&gt;=4,"Middel","Laag"))))</f>
        <v>0</v>
      </c>
      <c r="I47" s="16"/>
      <c r="J47" s="17"/>
      <c r="K47" s="17"/>
      <c r="L47" s="18">
        <f>IF(AND(ISNUMBER(J47),ISNUMBER(K47)),J47*K47,"")</f>
        <v>0</v>
      </c>
      <c r="M47" s="19">
        <f>IF(L47="","",IF(L47&gt;=15,"Kritiek",IF(L47&gt;=8,"Hoog",IF(L47&gt;=4,"Middel","Laag"))))</f>
        <v>0</v>
      </c>
      <c r="N47" s="15"/>
      <c r="O47" s="20"/>
      <c r="P47" s="20"/>
      <c r="Q47" s="20"/>
    </row>
    <row r="48" spans="1:17" ht="18" customHeight="1">
      <c r="A48" s="21" t="s">
        <v>77</v>
      </c>
      <c r="B48" s="22"/>
      <c r="C48" s="22"/>
      <c r="D48" s="23"/>
      <c r="E48" s="24"/>
      <c r="F48" s="24"/>
      <c r="G48" s="25">
        <f>IF(AND(ISNUMBER(E48),ISNUMBER(F48)),E48*F48,"")</f>
        <v>0</v>
      </c>
      <c r="H48" s="26">
        <f>IF(G48="","",IF(G48&gt;=15,"Kritiek",IF(G48&gt;=8,"Hoog",IF(G48&gt;=4,"Middel","Laag"))))</f>
        <v>0</v>
      </c>
      <c r="I48" s="23"/>
      <c r="J48" s="24"/>
      <c r="K48" s="24"/>
      <c r="L48" s="25">
        <f>IF(AND(ISNUMBER(J48),ISNUMBER(K48)),J48*K48,"")</f>
        <v>0</v>
      </c>
      <c r="M48" s="26">
        <f>IF(L48="","",IF(L48&gt;=15,"Kritiek",IF(L48&gt;=8,"Hoog",IF(L48&gt;=4,"Middel","Laag"))))</f>
        <v>0</v>
      </c>
      <c r="N48" s="22"/>
      <c r="O48" s="27"/>
      <c r="P48" s="27"/>
      <c r="Q48" s="27"/>
    </row>
    <row r="49" spans="1:17" ht="18" customHeight="1">
      <c r="A49" s="14" t="s">
        <v>78</v>
      </c>
      <c r="B49" s="15"/>
      <c r="C49" s="15"/>
      <c r="D49" s="16"/>
      <c r="E49" s="17"/>
      <c r="F49" s="17"/>
      <c r="G49" s="18">
        <f>IF(AND(ISNUMBER(E49),ISNUMBER(F49)),E49*F49,"")</f>
        <v>0</v>
      </c>
      <c r="H49" s="19">
        <f>IF(G49="","",IF(G49&gt;=15,"Kritiek",IF(G49&gt;=8,"Hoog",IF(G49&gt;=4,"Middel","Laag"))))</f>
        <v>0</v>
      </c>
      <c r="I49" s="16"/>
      <c r="J49" s="17"/>
      <c r="K49" s="17"/>
      <c r="L49" s="18">
        <f>IF(AND(ISNUMBER(J49),ISNUMBER(K49)),J49*K49,"")</f>
        <v>0</v>
      </c>
      <c r="M49" s="19">
        <f>IF(L49="","",IF(L49&gt;=15,"Kritiek",IF(L49&gt;=8,"Hoog",IF(L49&gt;=4,"Middel","Laag"))))</f>
        <v>0</v>
      </c>
      <c r="N49" s="15"/>
      <c r="O49" s="20"/>
      <c r="P49" s="20"/>
      <c r="Q49" s="20"/>
    </row>
    <row r="50" spans="1:17" ht="18" customHeight="1">
      <c r="A50" s="21" t="s">
        <v>79</v>
      </c>
      <c r="B50" s="22"/>
      <c r="C50" s="22"/>
      <c r="D50" s="23"/>
      <c r="E50" s="24"/>
      <c r="F50" s="24"/>
      <c r="G50" s="25">
        <f>IF(AND(ISNUMBER(E50),ISNUMBER(F50)),E50*F50,"")</f>
        <v>0</v>
      </c>
      <c r="H50" s="26">
        <f>IF(G50="","",IF(G50&gt;=15,"Kritiek",IF(G50&gt;=8,"Hoog",IF(G50&gt;=4,"Middel","Laag"))))</f>
        <v>0</v>
      </c>
      <c r="I50" s="23"/>
      <c r="J50" s="24"/>
      <c r="K50" s="24"/>
      <c r="L50" s="25">
        <f>IF(AND(ISNUMBER(J50),ISNUMBER(K50)),J50*K50,"")</f>
        <v>0</v>
      </c>
      <c r="M50" s="26">
        <f>IF(L50="","",IF(L50&gt;=15,"Kritiek",IF(L50&gt;=8,"Hoog",IF(L50&gt;=4,"Middel","Laag"))))</f>
        <v>0</v>
      </c>
      <c r="N50" s="22"/>
      <c r="O50" s="27"/>
      <c r="P50" s="27"/>
      <c r="Q50" s="27"/>
    </row>
    <row r="51" spans="1:17" ht="18" customHeight="1">
      <c r="A51" s="14" t="s">
        <v>80</v>
      </c>
      <c r="B51" s="15"/>
      <c r="C51" s="15"/>
      <c r="D51" s="16"/>
      <c r="E51" s="17"/>
      <c r="F51" s="17"/>
      <c r="G51" s="18">
        <f>IF(AND(ISNUMBER(E51),ISNUMBER(F51)),E51*F51,"")</f>
        <v>0</v>
      </c>
      <c r="H51" s="19">
        <f>IF(G51="","",IF(G51&gt;=15,"Kritiek",IF(G51&gt;=8,"Hoog",IF(G51&gt;=4,"Middel","Laag"))))</f>
        <v>0</v>
      </c>
      <c r="I51" s="16"/>
      <c r="J51" s="17"/>
      <c r="K51" s="17"/>
      <c r="L51" s="18">
        <f>IF(AND(ISNUMBER(J51),ISNUMBER(K51)),J51*K51,"")</f>
        <v>0</v>
      </c>
      <c r="M51" s="19">
        <f>IF(L51="","",IF(L51&gt;=15,"Kritiek",IF(L51&gt;=8,"Hoog",IF(L51&gt;=4,"Middel","Laag"))))</f>
        <v>0</v>
      </c>
      <c r="N51" s="15"/>
      <c r="O51" s="20"/>
      <c r="P51" s="20"/>
      <c r="Q51" s="20"/>
    </row>
    <row r="52" spans="1:17" ht="18" customHeight="1">
      <c r="A52" s="21" t="s">
        <v>81</v>
      </c>
      <c r="B52" s="22"/>
      <c r="C52" s="22"/>
      <c r="D52" s="23"/>
      <c r="E52" s="24"/>
      <c r="F52" s="24"/>
      <c r="G52" s="25">
        <f>IF(AND(ISNUMBER(E52),ISNUMBER(F52)),E52*F52,"")</f>
        <v>0</v>
      </c>
      <c r="H52" s="26">
        <f>IF(G52="","",IF(G52&gt;=15,"Kritiek",IF(G52&gt;=8,"Hoog",IF(G52&gt;=4,"Middel","Laag"))))</f>
        <v>0</v>
      </c>
      <c r="I52" s="23"/>
      <c r="J52" s="24"/>
      <c r="K52" s="24"/>
      <c r="L52" s="25">
        <f>IF(AND(ISNUMBER(J52),ISNUMBER(K52)),J52*K52,"")</f>
        <v>0</v>
      </c>
      <c r="M52" s="26">
        <f>IF(L52="","",IF(L52&gt;=15,"Kritiek",IF(L52&gt;=8,"Hoog",IF(L52&gt;=4,"Middel","Laag"))))</f>
        <v>0</v>
      </c>
      <c r="N52" s="22"/>
      <c r="O52" s="27"/>
      <c r="P52" s="27"/>
      <c r="Q52" s="27"/>
    </row>
    <row r="53" spans="1:17" ht="18" customHeight="1">
      <c r="A53" s="14" t="s">
        <v>82</v>
      </c>
      <c r="B53" s="15"/>
      <c r="C53" s="15"/>
      <c r="D53" s="16"/>
      <c r="E53" s="17"/>
      <c r="F53" s="17"/>
      <c r="G53" s="18">
        <f>IF(AND(ISNUMBER(E53),ISNUMBER(F53)),E53*F53,"")</f>
        <v>0</v>
      </c>
      <c r="H53" s="19">
        <f>IF(G53="","",IF(G53&gt;=15,"Kritiek",IF(G53&gt;=8,"Hoog",IF(G53&gt;=4,"Middel","Laag"))))</f>
        <v>0</v>
      </c>
      <c r="I53" s="16"/>
      <c r="J53" s="17"/>
      <c r="K53" s="17"/>
      <c r="L53" s="18">
        <f>IF(AND(ISNUMBER(J53),ISNUMBER(K53)),J53*K53,"")</f>
        <v>0</v>
      </c>
      <c r="M53" s="19">
        <f>IF(L53="","",IF(L53&gt;=15,"Kritiek",IF(L53&gt;=8,"Hoog",IF(L53&gt;=4,"Middel","Laag"))))</f>
        <v>0</v>
      </c>
      <c r="N53" s="15"/>
      <c r="O53" s="20"/>
      <c r="P53" s="20"/>
      <c r="Q53" s="20"/>
    </row>
    <row r="54" spans="1:17" ht="18" customHeight="1">
      <c r="A54" s="21" t="s">
        <v>83</v>
      </c>
      <c r="B54" s="22"/>
      <c r="C54" s="22"/>
      <c r="D54" s="23"/>
      <c r="E54" s="24"/>
      <c r="F54" s="24"/>
      <c r="G54" s="25">
        <f>IF(AND(ISNUMBER(E54),ISNUMBER(F54)),E54*F54,"")</f>
        <v>0</v>
      </c>
      <c r="H54" s="26">
        <f>IF(G54="","",IF(G54&gt;=15,"Kritiek",IF(G54&gt;=8,"Hoog",IF(G54&gt;=4,"Middel","Laag"))))</f>
        <v>0</v>
      </c>
      <c r="I54" s="23"/>
      <c r="J54" s="24"/>
      <c r="K54" s="24"/>
      <c r="L54" s="25">
        <f>IF(AND(ISNUMBER(J54),ISNUMBER(K54)),J54*K54,"")</f>
        <v>0</v>
      </c>
      <c r="M54" s="26">
        <f>IF(L54="","",IF(L54&gt;=15,"Kritiek",IF(L54&gt;=8,"Hoog",IF(L54&gt;=4,"Middel","Laag"))))</f>
        <v>0</v>
      </c>
      <c r="N54" s="22"/>
      <c r="O54" s="27"/>
      <c r="P54" s="27"/>
      <c r="Q54" s="27"/>
    </row>
    <row r="55" spans="1:17" ht="18" customHeight="1">
      <c r="A55" s="14" t="s">
        <v>84</v>
      </c>
      <c r="B55" s="15"/>
      <c r="C55" s="15"/>
      <c r="D55" s="16"/>
      <c r="E55" s="17"/>
      <c r="F55" s="17"/>
      <c r="G55" s="18">
        <f>IF(AND(ISNUMBER(E55),ISNUMBER(F55)),E55*F55,"")</f>
        <v>0</v>
      </c>
      <c r="H55" s="19">
        <f>IF(G55="","",IF(G55&gt;=15,"Kritiek",IF(G55&gt;=8,"Hoog",IF(G55&gt;=4,"Middel","Laag"))))</f>
        <v>0</v>
      </c>
      <c r="I55" s="16"/>
      <c r="J55" s="17"/>
      <c r="K55" s="17"/>
      <c r="L55" s="18">
        <f>IF(AND(ISNUMBER(J55),ISNUMBER(K55)),J55*K55,"")</f>
        <v>0</v>
      </c>
      <c r="M55" s="19">
        <f>IF(L55="","",IF(L55&gt;=15,"Kritiek",IF(L55&gt;=8,"Hoog",IF(L55&gt;=4,"Middel","Laag"))))</f>
        <v>0</v>
      </c>
      <c r="N55" s="15"/>
      <c r="O55" s="20"/>
      <c r="P55" s="20"/>
      <c r="Q55" s="20"/>
    </row>
    <row r="56" spans="1:17" ht="18" customHeight="1">
      <c r="A56" s="21" t="s">
        <v>85</v>
      </c>
      <c r="B56" s="22"/>
      <c r="C56" s="22"/>
      <c r="D56" s="23"/>
      <c r="E56" s="24"/>
      <c r="F56" s="24"/>
      <c r="G56" s="25">
        <f>IF(AND(ISNUMBER(E56),ISNUMBER(F56)),E56*F56,"")</f>
        <v>0</v>
      </c>
      <c r="H56" s="26">
        <f>IF(G56="","",IF(G56&gt;=15,"Kritiek",IF(G56&gt;=8,"Hoog",IF(G56&gt;=4,"Middel","Laag"))))</f>
        <v>0</v>
      </c>
      <c r="I56" s="23"/>
      <c r="J56" s="24"/>
      <c r="K56" s="24"/>
      <c r="L56" s="25">
        <f>IF(AND(ISNUMBER(J56),ISNUMBER(K56)),J56*K56,"")</f>
        <v>0</v>
      </c>
      <c r="M56" s="26">
        <f>IF(L56="","",IF(L56&gt;=15,"Kritiek",IF(L56&gt;=8,"Hoog",IF(L56&gt;=4,"Middel","Laag"))))</f>
        <v>0</v>
      </c>
      <c r="N56" s="22"/>
      <c r="O56" s="27"/>
      <c r="P56" s="27"/>
      <c r="Q56" s="27"/>
    </row>
    <row r="57" spans="1:17" ht="18" customHeight="1">
      <c r="A57" s="14" t="s">
        <v>86</v>
      </c>
      <c r="B57" s="15"/>
      <c r="C57" s="15"/>
      <c r="D57" s="16"/>
      <c r="E57" s="17"/>
      <c r="F57" s="17"/>
      <c r="G57" s="18">
        <f>IF(AND(ISNUMBER(E57),ISNUMBER(F57)),E57*F57,"")</f>
        <v>0</v>
      </c>
      <c r="H57" s="19">
        <f>IF(G57="","",IF(G57&gt;=15,"Kritiek",IF(G57&gt;=8,"Hoog",IF(G57&gt;=4,"Middel","Laag"))))</f>
        <v>0</v>
      </c>
      <c r="I57" s="16"/>
      <c r="J57" s="17"/>
      <c r="K57" s="17"/>
      <c r="L57" s="18">
        <f>IF(AND(ISNUMBER(J57),ISNUMBER(K57)),J57*K57,"")</f>
        <v>0</v>
      </c>
      <c r="M57" s="19">
        <f>IF(L57="","",IF(L57&gt;=15,"Kritiek",IF(L57&gt;=8,"Hoog",IF(L57&gt;=4,"Middel","Laag"))))</f>
        <v>0</v>
      </c>
      <c r="N57" s="15"/>
      <c r="O57" s="20"/>
      <c r="P57" s="20"/>
      <c r="Q57" s="20"/>
    </row>
    <row r="58" spans="1:17" ht="18" customHeight="1">
      <c r="A58" s="21" t="s">
        <v>87</v>
      </c>
      <c r="B58" s="22"/>
      <c r="C58" s="22"/>
      <c r="D58" s="23"/>
      <c r="E58" s="24"/>
      <c r="F58" s="24"/>
      <c r="G58" s="25">
        <f>IF(AND(ISNUMBER(E58),ISNUMBER(F58)),E58*F58,"")</f>
        <v>0</v>
      </c>
      <c r="H58" s="26">
        <f>IF(G58="","",IF(G58&gt;=15,"Kritiek",IF(G58&gt;=8,"Hoog",IF(G58&gt;=4,"Middel","Laag"))))</f>
        <v>0</v>
      </c>
      <c r="I58" s="23"/>
      <c r="J58" s="24"/>
      <c r="K58" s="24"/>
      <c r="L58" s="25">
        <f>IF(AND(ISNUMBER(J58),ISNUMBER(K58)),J58*K58,"")</f>
        <v>0</v>
      </c>
      <c r="M58" s="26">
        <f>IF(L58="","",IF(L58&gt;=15,"Kritiek",IF(L58&gt;=8,"Hoog",IF(L58&gt;=4,"Middel","Laag"))))</f>
        <v>0</v>
      </c>
      <c r="N58" s="22"/>
      <c r="O58" s="27"/>
      <c r="P58" s="27"/>
      <c r="Q58" s="27"/>
    </row>
    <row r="59" spans="1:17" ht="18" customHeight="1">
      <c r="A59" s="14" t="s">
        <v>88</v>
      </c>
      <c r="B59" s="15"/>
      <c r="C59" s="15"/>
      <c r="D59" s="16"/>
      <c r="E59" s="17"/>
      <c r="F59" s="17"/>
      <c r="G59" s="18">
        <f>IF(AND(ISNUMBER(E59),ISNUMBER(F59)),E59*F59,"")</f>
        <v>0</v>
      </c>
      <c r="H59" s="19">
        <f>IF(G59="","",IF(G59&gt;=15,"Kritiek",IF(G59&gt;=8,"Hoog",IF(G59&gt;=4,"Middel","Laag"))))</f>
        <v>0</v>
      </c>
      <c r="I59" s="16"/>
      <c r="J59" s="17"/>
      <c r="K59" s="17"/>
      <c r="L59" s="18">
        <f>IF(AND(ISNUMBER(J59),ISNUMBER(K59)),J59*K59,"")</f>
        <v>0</v>
      </c>
      <c r="M59" s="19">
        <f>IF(L59="","",IF(L59&gt;=15,"Kritiek",IF(L59&gt;=8,"Hoog",IF(L59&gt;=4,"Middel","Laag"))))</f>
        <v>0</v>
      </c>
      <c r="N59" s="15"/>
      <c r="O59" s="20"/>
      <c r="P59" s="20"/>
      <c r="Q59" s="20"/>
    </row>
    <row r="60" spans="1:17" ht="18" customHeight="1">
      <c r="A60" s="21" t="s">
        <v>89</v>
      </c>
      <c r="B60" s="22"/>
      <c r="C60" s="22"/>
      <c r="D60" s="23"/>
      <c r="E60" s="24"/>
      <c r="F60" s="24"/>
      <c r="G60" s="25">
        <f>IF(AND(ISNUMBER(E60),ISNUMBER(F60)),E60*F60,"")</f>
        <v>0</v>
      </c>
      <c r="H60" s="26">
        <f>IF(G60="","",IF(G60&gt;=15,"Kritiek",IF(G60&gt;=8,"Hoog",IF(G60&gt;=4,"Middel","Laag"))))</f>
        <v>0</v>
      </c>
      <c r="I60" s="23"/>
      <c r="J60" s="24"/>
      <c r="K60" s="24"/>
      <c r="L60" s="25">
        <f>IF(AND(ISNUMBER(J60),ISNUMBER(K60)),J60*K60,"")</f>
        <v>0</v>
      </c>
      <c r="M60" s="26">
        <f>IF(L60="","",IF(L60&gt;=15,"Kritiek",IF(L60&gt;=8,"Hoog",IF(L60&gt;=4,"Middel","Laag"))))</f>
        <v>0</v>
      </c>
      <c r="N60" s="22"/>
      <c r="O60" s="27"/>
      <c r="P60" s="27"/>
      <c r="Q60" s="27"/>
    </row>
    <row r="61" spans="1:17" ht="18" customHeight="1">
      <c r="A61" s="14" t="s">
        <v>90</v>
      </c>
      <c r="B61" s="15"/>
      <c r="C61" s="15"/>
      <c r="D61" s="16"/>
      <c r="E61" s="17"/>
      <c r="F61" s="17"/>
      <c r="G61" s="18">
        <f>IF(AND(ISNUMBER(E61),ISNUMBER(F61)),E61*F61,"")</f>
        <v>0</v>
      </c>
      <c r="H61" s="19">
        <f>IF(G61="","",IF(G61&gt;=15,"Kritiek",IF(G61&gt;=8,"Hoog",IF(G61&gt;=4,"Middel","Laag"))))</f>
        <v>0</v>
      </c>
      <c r="I61" s="16"/>
      <c r="J61" s="17"/>
      <c r="K61" s="17"/>
      <c r="L61" s="18">
        <f>IF(AND(ISNUMBER(J61),ISNUMBER(K61)),J61*K61,"")</f>
        <v>0</v>
      </c>
      <c r="M61" s="19">
        <f>IF(L61="","",IF(L61&gt;=15,"Kritiek",IF(L61&gt;=8,"Hoog",IF(L61&gt;=4,"Middel","Laag"))))</f>
        <v>0</v>
      </c>
      <c r="N61" s="15"/>
      <c r="O61" s="20"/>
      <c r="P61" s="20"/>
      <c r="Q61" s="20"/>
    </row>
    <row r="62" spans="1:17" ht="18" customHeight="1">
      <c r="A62" s="21" t="s">
        <v>91</v>
      </c>
      <c r="B62" s="22"/>
      <c r="C62" s="22"/>
      <c r="D62" s="23"/>
      <c r="E62" s="24"/>
      <c r="F62" s="24"/>
      <c r="G62" s="25">
        <f>IF(AND(ISNUMBER(E62),ISNUMBER(F62)),E62*F62,"")</f>
        <v>0</v>
      </c>
      <c r="H62" s="26">
        <f>IF(G62="","",IF(G62&gt;=15,"Kritiek",IF(G62&gt;=8,"Hoog",IF(G62&gt;=4,"Middel","Laag"))))</f>
        <v>0</v>
      </c>
      <c r="I62" s="23"/>
      <c r="J62" s="24"/>
      <c r="K62" s="24"/>
      <c r="L62" s="25">
        <f>IF(AND(ISNUMBER(J62),ISNUMBER(K62)),J62*K62,"")</f>
        <v>0</v>
      </c>
      <c r="M62" s="26">
        <f>IF(L62="","",IF(L62&gt;=15,"Kritiek",IF(L62&gt;=8,"Hoog",IF(L62&gt;=4,"Middel","Laag"))))</f>
        <v>0</v>
      </c>
      <c r="N62" s="22"/>
      <c r="O62" s="27"/>
      <c r="P62" s="27"/>
      <c r="Q62" s="27"/>
    </row>
    <row r="63" spans="1:17" ht="18" customHeight="1">
      <c r="A63" s="14" t="s">
        <v>92</v>
      </c>
      <c r="B63" s="15"/>
      <c r="C63" s="15"/>
      <c r="D63" s="16"/>
      <c r="E63" s="17"/>
      <c r="F63" s="17"/>
      <c r="G63" s="18">
        <f>IF(AND(ISNUMBER(E63),ISNUMBER(F63)),E63*F63,"")</f>
        <v>0</v>
      </c>
      <c r="H63" s="19">
        <f>IF(G63="","",IF(G63&gt;=15,"Kritiek",IF(G63&gt;=8,"Hoog",IF(G63&gt;=4,"Middel","Laag"))))</f>
        <v>0</v>
      </c>
      <c r="I63" s="16"/>
      <c r="J63" s="17"/>
      <c r="K63" s="17"/>
      <c r="L63" s="18">
        <f>IF(AND(ISNUMBER(J63),ISNUMBER(K63)),J63*K63,"")</f>
        <v>0</v>
      </c>
      <c r="M63" s="19">
        <f>IF(L63="","",IF(L63&gt;=15,"Kritiek",IF(L63&gt;=8,"Hoog",IF(L63&gt;=4,"Middel","Laag"))))</f>
        <v>0</v>
      </c>
      <c r="N63" s="15"/>
      <c r="O63" s="20"/>
      <c r="P63" s="20"/>
      <c r="Q63" s="20"/>
    </row>
    <row r="64" spans="1:17" ht="18" customHeight="1">
      <c r="A64" s="21" t="s">
        <v>93</v>
      </c>
      <c r="B64" s="22"/>
      <c r="C64" s="22"/>
      <c r="D64" s="23"/>
      <c r="E64" s="24"/>
      <c r="F64" s="24"/>
      <c r="G64" s="25">
        <f>IF(AND(ISNUMBER(E64),ISNUMBER(F64)),E64*F64,"")</f>
        <v>0</v>
      </c>
      <c r="H64" s="26">
        <f>IF(G64="","",IF(G64&gt;=15,"Kritiek",IF(G64&gt;=8,"Hoog",IF(G64&gt;=4,"Middel","Laag"))))</f>
        <v>0</v>
      </c>
      <c r="I64" s="23"/>
      <c r="J64" s="24"/>
      <c r="K64" s="24"/>
      <c r="L64" s="25">
        <f>IF(AND(ISNUMBER(J64),ISNUMBER(K64)),J64*K64,"")</f>
        <v>0</v>
      </c>
      <c r="M64" s="26">
        <f>IF(L64="","",IF(L64&gt;=15,"Kritiek",IF(L64&gt;=8,"Hoog",IF(L64&gt;=4,"Middel","Laag"))))</f>
        <v>0</v>
      </c>
      <c r="N64" s="22"/>
      <c r="O64" s="27"/>
      <c r="P64" s="27"/>
      <c r="Q64" s="27"/>
    </row>
    <row r="65" spans="1:17" ht="18" customHeight="1">
      <c r="A65" s="14" t="s">
        <v>94</v>
      </c>
      <c r="B65" s="15"/>
      <c r="C65" s="15"/>
      <c r="D65" s="16"/>
      <c r="E65" s="17"/>
      <c r="F65" s="17"/>
      <c r="G65" s="18">
        <f>IF(AND(ISNUMBER(E65),ISNUMBER(F65)),E65*F65,"")</f>
        <v>0</v>
      </c>
      <c r="H65" s="19">
        <f>IF(G65="","",IF(G65&gt;=15,"Kritiek",IF(G65&gt;=8,"Hoog",IF(G65&gt;=4,"Middel","Laag"))))</f>
        <v>0</v>
      </c>
      <c r="I65" s="16"/>
      <c r="J65" s="17"/>
      <c r="K65" s="17"/>
      <c r="L65" s="18">
        <f>IF(AND(ISNUMBER(J65),ISNUMBER(K65)),J65*K65,"")</f>
        <v>0</v>
      </c>
      <c r="M65" s="19">
        <f>IF(L65="","",IF(L65&gt;=15,"Kritiek",IF(L65&gt;=8,"Hoog",IF(L65&gt;=4,"Middel","Laag"))))</f>
        <v>0</v>
      </c>
      <c r="N65" s="15"/>
      <c r="O65" s="20"/>
      <c r="P65" s="20"/>
      <c r="Q65" s="20"/>
    </row>
    <row r="66" spans="1:17" ht="18" customHeight="1">
      <c r="A66" s="21" t="s">
        <v>95</v>
      </c>
      <c r="B66" s="22"/>
      <c r="C66" s="22"/>
      <c r="D66" s="23"/>
      <c r="E66" s="24"/>
      <c r="F66" s="24"/>
      <c r="G66" s="25">
        <f>IF(AND(ISNUMBER(E66),ISNUMBER(F66)),E66*F66,"")</f>
        <v>0</v>
      </c>
      <c r="H66" s="26">
        <f>IF(G66="","",IF(G66&gt;=15,"Kritiek",IF(G66&gt;=8,"Hoog",IF(G66&gt;=4,"Middel","Laag"))))</f>
        <v>0</v>
      </c>
      <c r="I66" s="23"/>
      <c r="J66" s="24"/>
      <c r="K66" s="24"/>
      <c r="L66" s="25">
        <f>IF(AND(ISNUMBER(J66),ISNUMBER(K66)),J66*K66,"")</f>
        <v>0</v>
      </c>
      <c r="M66" s="26">
        <f>IF(L66="","",IF(L66&gt;=15,"Kritiek",IF(L66&gt;=8,"Hoog",IF(L66&gt;=4,"Middel","Laag"))))</f>
        <v>0</v>
      </c>
      <c r="N66" s="22"/>
      <c r="O66" s="27"/>
      <c r="P66" s="27"/>
      <c r="Q66" s="27"/>
    </row>
    <row r="67" spans="1:17" ht="18" customHeight="1">
      <c r="A67" s="14" t="s">
        <v>96</v>
      </c>
      <c r="B67" s="15"/>
      <c r="C67" s="15"/>
      <c r="D67" s="16"/>
      <c r="E67" s="17"/>
      <c r="F67" s="17"/>
      <c r="G67" s="18">
        <f>IF(AND(ISNUMBER(E67),ISNUMBER(F67)),E67*F67,"")</f>
        <v>0</v>
      </c>
      <c r="H67" s="19">
        <f>IF(G67="","",IF(G67&gt;=15,"Kritiek",IF(G67&gt;=8,"Hoog",IF(G67&gt;=4,"Middel","Laag"))))</f>
        <v>0</v>
      </c>
      <c r="I67" s="16"/>
      <c r="J67" s="17"/>
      <c r="K67" s="17"/>
      <c r="L67" s="18">
        <f>IF(AND(ISNUMBER(J67),ISNUMBER(K67)),J67*K67,"")</f>
        <v>0</v>
      </c>
      <c r="M67" s="19">
        <f>IF(L67="","",IF(L67&gt;=15,"Kritiek",IF(L67&gt;=8,"Hoog",IF(L67&gt;=4,"Middel","Laag"))))</f>
        <v>0</v>
      </c>
      <c r="N67" s="15"/>
      <c r="O67" s="20"/>
      <c r="P67" s="20"/>
      <c r="Q67" s="20"/>
    </row>
    <row r="68" spans="1:17" ht="18" customHeight="1">
      <c r="A68" s="21" t="s">
        <v>97</v>
      </c>
      <c r="B68" s="22"/>
      <c r="C68" s="22"/>
      <c r="D68" s="23"/>
      <c r="E68" s="24"/>
      <c r="F68" s="24"/>
      <c r="G68" s="25">
        <f>IF(AND(ISNUMBER(E68),ISNUMBER(F68)),E68*F68,"")</f>
        <v>0</v>
      </c>
      <c r="H68" s="26">
        <f>IF(G68="","",IF(G68&gt;=15,"Kritiek",IF(G68&gt;=8,"Hoog",IF(G68&gt;=4,"Middel","Laag"))))</f>
        <v>0</v>
      </c>
      <c r="I68" s="23"/>
      <c r="J68" s="24"/>
      <c r="K68" s="24"/>
      <c r="L68" s="25">
        <f>IF(AND(ISNUMBER(J68),ISNUMBER(K68)),J68*K68,"")</f>
        <v>0</v>
      </c>
      <c r="M68" s="26">
        <f>IF(L68="","",IF(L68&gt;=15,"Kritiek",IF(L68&gt;=8,"Hoog",IF(L68&gt;=4,"Middel","Laag"))))</f>
        <v>0</v>
      </c>
      <c r="N68" s="22"/>
      <c r="O68" s="27"/>
      <c r="P68" s="27"/>
      <c r="Q68" s="27"/>
    </row>
    <row r="69" spans="1:17" ht="18" customHeight="1">
      <c r="A69" s="14" t="s">
        <v>98</v>
      </c>
      <c r="B69" s="15"/>
      <c r="C69" s="15"/>
      <c r="D69" s="16"/>
      <c r="E69" s="17"/>
      <c r="F69" s="17"/>
      <c r="G69" s="18">
        <f>IF(AND(ISNUMBER(E69),ISNUMBER(F69)),E69*F69,"")</f>
        <v>0</v>
      </c>
      <c r="H69" s="19">
        <f>IF(G69="","",IF(G69&gt;=15,"Kritiek",IF(G69&gt;=8,"Hoog",IF(G69&gt;=4,"Middel","Laag"))))</f>
        <v>0</v>
      </c>
      <c r="I69" s="16"/>
      <c r="J69" s="17"/>
      <c r="K69" s="17"/>
      <c r="L69" s="18">
        <f>IF(AND(ISNUMBER(J69),ISNUMBER(K69)),J69*K69,"")</f>
        <v>0</v>
      </c>
      <c r="M69" s="19">
        <f>IF(L69="","",IF(L69&gt;=15,"Kritiek",IF(L69&gt;=8,"Hoog",IF(L69&gt;=4,"Middel","Laag"))))</f>
        <v>0</v>
      </c>
      <c r="N69" s="15"/>
      <c r="O69" s="20"/>
      <c r="P69" s="20"/>
      <c r="Q69" s="20"/>
    </row>
    <row r="70" spans="1:17" ht="18" customHeight="1">
      <c r="A70" s="21" t="s">
        <v>99</v>
      </c>
      <c r="B70" s="22"/>
      <c r="C70" s="22"/>
      <c r="D70" s="23"/>
      <c r="E70" s="24"/>
      <c r="F70" s="24"/>
      <c r="G70" s="25">
        <f>IF(AND(ISNUMBER(E70),ISNUMBER(F70)),E70*F70,"")</f>
        <v>0</v>
      </c>
      <c r="H70" s="26">
        <f>IF(G70="","",IF(G70&gt;=15,"Kritiek",IF(G70&gt;=8,"Hoog",IF(G70&gt;=4,"Middel","Laag"))))</f>
        <v>0</v>
      </c>
      <c r="I70" s="23"/>
      <c r="J70" s="24"/>
      <c r="K70" s="24"/>
      <c r="L70" s="25">
        <f>IF(AND(ISNUMBER(J70),ISNUMBER(K70)),J70*K70,"")</f>
        <v>0</v>
      </c>
      <c r="M70" s="26">
        <f>IF(L70="","",IF(L70&gt;=15,"Kritiek",IF(L70&gt;=8,"Hoog",IF(L70&gt;=4,"Middel","Laag"))))</f>
        <v>0</v>
      </c>
      <c r="N70" s="22"/>
      <c r="O70" s="27"/>
      <c r="P70" s="27"/>
      <c r="Q70" s="27"/>
    </row>
    <row r="71" spans="1:17" ht="18" customHeight="1">
      <c r="A71" s="14" t="s">
        <v>100</v>
      </c>
      <c r="B71" s="15"/>
      <c r="C71" s="15"/>
      <c r="D71" s="16"/>
      <c r="E71" s="17"/>
      <c r="F71" s="17"/>
      <c r="G71" s="18">
        <f>IF(AND(ISNUMBER(E71),ISNUMBER(F71)),E71*F71,"")</f>
        <v>0</v>
      </c>
      <c r="H71" s="19">
        <f>IF(G71="","",IF(G71&gt;=15,"Kritiek",IF(G71&gt;=8,"Hoog",IF(G71&gt;=4,"Middel","Laag"))))</f>
        <v>0</v>
      </c>
      <c r="I71" s="16"/>
      <c r="J71" s="17"/>
      <c r="K71" s="17"/>
      <c r="L71" s="18">
        <f>IF(AND(ISNUMBER(J71),ISNUMBER(K71)),J71*K71,"")</f>
        <v>0</v>
      </c>
      <c r="M71" s="19">
        <f>IF(L71="","",IF(L71&gt;=15,"Kritiek",IF(L71&gt;=8,"Hoog",IF(L71&gt;=4,"Middel","Laag"))))</f>
        <v>0</v>
      </c>
      <c r="N71" s="15"/>
      <c r="O71" s="20"/>
      <c r="P71" s="20"/>
      <c r="Q71" s="20"/>
    </row>
    <row r="72" spans="1:17" ht="18" customHeight="1">
      <c r="A72" s="21" t="s">
        <v>101</v>
      </c>
      <c r="B72" s="22"/>
      <c r="C72" s="22"/>
      <c r="D72" s="23"/>
      <c r="E72" s="24"/>
      <c r="F72" s="24"/>
      <c r="G72" s="25">
        <f>IF(AND(ISNUMBER(E72),ISNUMBER(F72)),E72*F72,"")</f>
        <v>0</v>
      </c>
      <c r="H72" s="26">
        <f>IF(G72="","",IF(G72&gt;=15,"Kritiek",IF(G72&gt;=8,"Hoog",IF(G72&gt;=4,"Middel","Laag"))))</f>
        <v>0</v>
      </c>
      <c r="I72" s="23"/>
      <c r="J72" s="24"/>
      <c r="K72" s="24"/>
      <c r="L72" s="25">
        <f>IF(AND(ISNUMBER(J72),ISNUMBER(K72)),J72*K72,"")</f>
        <v>0</v>
      </c>
      <c r="M72" s="26">
        <f>IF(L72="","",IF(L72&gt;=15,"Kritiek",IF(L72&gt;=8,"Hoog",IF(L72&gt;=4,"Middel","Laag"))))</f>
        <v>0</v>
      </c>
      <c r="N72" s="22"/>
      <c r="O72" s="27"/>
      <c r="P72" s="27"/>
      <c r="Q72" s="27"/>
    </row>
    <row r="73" spans="1:17" ht="18" customHeight="1">
      <c r="A73" s="14" t="s">
        <v>102</v>
      </c>
      <c r="B73" s="15"/>
      <c r="C73" s="15"/>
      <c r="D73" s="16"/>
      <c r="E73" s="17"/>
      <c r="F73" s="17"/>
      <c r="G73" s="18">
        <f>IF(AND(ISNUMBER(E73),ISNUMBER(F73)),E73*F73,"")</f>
        <v>0</v>
      </c>
      <c r="H73" s="19">
        <f>IF(G73="","",IF(G73&gt;=15,"Kritiek",IF(G73&gt;=8,"Hoog",IF(G73&gt;=4,"Middel","Laag"))))</f>
        <v>0</v>
      </c>
      <c r="I73" s="16"/>
      <c r="J73" s="17"/>
      <c r="K73" s="17"/>
      <c r="L73" s="18">
        <f>IF(AND(ISNUMBER(J73),ISNUMBER(K73)),J73*K73,"")</f>
        <v>0</v>
      </c>
      <c r="M73" s="19">
        <f>IF(L73="","",IF(L73&gt;=15,"Kritiek",IF(L73&gt;=8,"Hoog",IF(L73&gt;=4,"Middel","Laag"))))</f>
        <v>0</v>
      </c>
      <c r="N73" s="15"/>
      <c r="O73" s="20"/>
      <c r="P73" s="20"/>
      <c r="Q73" s="20"/>
    </row>
    <row r="74" spans="1:17" ht="18" customHeight="1">
      <c r="A74" s="21" t="s">
        <v>103</v>
      </c>
      <c r="B74" s="22"/>
      <c r="C74" s="22"/>
      <c r="D74" s="23"/>
      <c r="E74" s="24"/>
      <c r="F74" s="24"/>
      <c r="G74" s="25">
        <f>IF(AND(ISNUMBER(E74),ISNUMBER(F74)),E74*F74,"")</f>
        <v>0</v>
      </c>
      <c r="H74" s="26">
        <f>IF(G74="","",IF(G74&gt;=15,"Kritiek",IF(G74&gt;=8,"Hoog",IF(G74&gt;=4,"Middel","Laag"))))</f>
        <v>0</v>
      </c>
      <c r="I74" s="23"/>
      <c r="J74" s="24"/>
      <c r="K74" s="24"/>
      <c r="L74" s="25">
        <f>IF(AND(ISNUMBER(J74),ISNUMBER(K74)),J74*K74,"")</f>
        <v>0</v>
      </c>
      <c r="M74" s="26">
        <f>IF(L74="","",IF(L74&gt;=15,"Kritiek",IF(L74&gt;=8,"Hoog",IF(L74&gt;=4,"Middel","Laag"))))</f>
        <v>0</v>
      </c>
      <c r="N74" s="22"/>
      <c r="O74" s="27"/>
      <c r="P74" s="27"/>
      <c r="Q74" s="27"/>
    </row>
    <row r="75" spans="1:17" ht="18" customHeight="1">
      <c r="A75" s="14" t="s">
        <v>104</v>
      </c>
      <c r="B75" s="15"/>
      <c r="C75" s="15"/>
      <c r="D75" s="16"/>
      <c r="E75" s="17"/>
      <c r="F75" s="17"/>
      <c r="G75" s="18">
        <f>IF(AND(ISNUMBER(E75),ISNUMBER(F75)),E75*F75,"")</f>
        <v>0</v>
      </c>
      <c r="H75" s="19">
        <f>IF(G75="","",IF(G75&gt;=15,"Kritiek",IF(G75&gt;=8,"Hoog",IF(G75&gt;=4,"Middel","Laag"))))</f>
        <v>0</v>
      </c>
      <c r="I75" s="16"/>
      <c r="J75" s="17"/>
      <c r="K75" s="17"/>
      <c r="L75" s="18">
        <f>IF(AND(ISNUMBER(J75),ISNUMBER(K75)),J75*K75,"")</f>
        <v>0</v>
      </c>
      <c r="M75" s="19">
        <f>IF(L75="","",IF(L75&gt;=15,"Kritiek",IF(L75&gt;=8,"Hoog",IF(L75&gt;=4,"Middel","Laag"))))</f>
        <v>0</v>
      </c>
      <c r="N75" s="15"/>
      <c r="O75" s="20"/>
      <c r="P75" s="20"/>
      <c r="Q75" s="20"/>
    </row>
    <row r="76" spans="1:17" ht="18" customHeight="1">
      <c r="A76" s="21" t="s">
        <v>105</v>
      </c>
      <c r="B76" s="22"/>
      <c r="C76" s="22"/>
      <c r="D76" s="23"/>
      <c r="E76" s="24"/>
      <c r="F76" s="24"/>
      <c r="G76" s="25">
        <f>IF(AND(ISNUMBER(E76),ISNUMBER(F76)),E76*F76,"")</f>
        <v>0</v>
      </c>
      <c r="H76" s="26">
        <f>IF(G76="","",IF(G76&gt;=15,"Kritiek",IF(G76&gt;=8,"Hoog",IF(G76&gt;=4,"Middel","Laag"))))</f>
        <v>0</v>
      </c>
      <c r="I76" s="23"/>
      <c r="J76" s="24"/>
      <c r="K76" s="24"/>
      <c r="L76" s="25">
        <f>IF(AND(ISNUMBER(J76),ISNUMBER(K76)),J76*K76,"")</f>
        <v>0</v>
      </c>
      <c r="M76" s="26">
        <f>IF(L76="","",IF(L76&gt;=15,"Kritiek",IF(L76&gt;=8,"Hoog",IF(L76&gt;=4,"Middel","Laag"))))</f>
        <v>0</v>
      </c>
      <c r="N76" s="22"/>
      <c r="O76" s="27"/>
      <c r="P76" s="27"/>
      <c r="Q76" s="27"/>
    </row>
    <row r="77" spans="1:17" ht="18" customHeight="1">
      <c r="A77" s="14" t="s">
        <v>106</v>
      </c>
      <c r="B77" s="15"/>
      <c r="C77" s="15"/>
      <c r="D77" s="16"/>
      <c r="E77" s="17"/>
      <c r="F77" s="17"/>
      <c r="G77" s="18">
        <f>IF(AND(ISNUMBER(E77),ISNUMBER(F77)),E77*F77,"")</f>
        <v>0</v>
      </c>
      <c r="H77" s="19">
        <f>IF(G77="","",IF(G77&gt;=15,"Kritiek",IF(G77&gt;=8,"Hoog",IF(G77&gt;=4,"Middel","Laag"))))</f>
        <v>0</v>
      </c>
      <c r="I77" s="16"/>
      <c r="J77" s="17"/>
      <c r="K77" s="17"/>
      <c r="L77" s="18">
        <f>IF(AND(ISNUMBER(J77),ISNUMBER(K77)),J77*K77,"")</f>
        <v>0</v>
      </c>
      <c r="M77" s="19">
        <f>IF(L77="","",IF(L77&gt;=15,"Kritiek",IF(L77&gt;=8,"Hoog",IF(L77&gt;=4,"Middel","Laag"))))</f>
        <v>0</v>
      </c>
      <c r="N77" s="15"/>
      <c r="O77" s="20"/>
      <c r="P77" s="20"/>
      <c r="Q77" s="20"/>
    </row>
    <row r="78" spans="1:17" ht="18" customHeight="1">
      <c r="A78" s="21" t="s">
        <v>107</v>
      </c>
      <c r="B78" s="22"/>
      <c r="C78" s="22"/>
      <c r="D78" s="23"/>
      <c r="E78" s="24"/>
      <c r="F78" s="24"/>
      <c r="G78" s="25">
        <f>IF(AND(ISNUMBER(E78),ISNUMBER(F78)),E78*F78,"")</f>
        <v>0</v>
      </c>
      <c r="H78" s="26">
        <f>IF(G78="","",IF(G78&gt;=15,"Kritiek",IF(G78&gt;=8,"Hoog",IF(G78&gt;=4,"Middel","Laag"))))</f>
        <v>0</v>
      </c>
      <c r="I78" s="23"/>
      <c r="J78" s="24"/>
      <c r="K78" s="24"/>
      <c r="L78" s="25">
        <f>IF(AND(ISNUMBER(J78),ISNUMBER(K78)),J78*K78,"")</f>
        <v>0</v>
      </c>
      <c r="M78" s="26">
        <f>IF(L78="","",IF(L78&gt;=15,"Kritiek",IF(L78&gt;=8,"Hoog",IF(L78&gt;=4,"Middel","Laag"))))</f>
        <v>0</v>
      </c>
      <c r="N78" s="22"/>
      <c r="O78" s="27"/>
      <c r="P78" s="27"/>
      <c r="Q78" s="27"/>
    </row>
    <row r="79" spans="1:17" ht="18" customHeight="1">
      <c r="A79" s="14" t="s">
        <v>108</v>
      </c>
      <c r="B79" s="15"/>
      <c r="C79" s="15"/>
      <c r="D79" s="16"/>
      <c r="E79" s="17"/>
      <c r="F79" s="17"/>
      <c r="G79" s="18">
        <f>IF(AND(ISNUMBER(E79),ISNUMBER(F79)),E79*F79,"")</f>
        <v>0</v>
      </c>
      <c r="H79" s="19">
        <f>IF(G79="","",IF(G79&gt;=15,"Kritiek",IF(G79&gt;=8,"Hoog",IF(G79&gt;=4,"Middel","Laag"))))</f>
        <v>0</v>
      </c>
      <c r="I79" s="16"/>
      <c r="J79" s="17"/>
      <c r="K79" s="17"/>
      <c r="L79" s="18">
        <f>IF(AND(ISNUMBER(J79),ISNUMBER(K79)),J79*K79,"")</f>
        <v>0</v>
      </c>
      <c r="M79" s="19">
        <f>IF(L79="","",IF(L79&gt;=15,"Kritiek",IF(L79&gt;=8,"Hoog",IF(L79&gt;=4,"Middel","Laag"))))</f>
        <v>0</v>
      </c>
      <c r="N79" s="15"/>
      <c r="O79" s="20"/>
      <c r="P79" s="20"/>
      <c r="Q79" s="20"/>
    </row>
    <row r="80" spans="1:17" ht="18" customHeight="1">
      <c r="A80" s="21" t="s">
        <v>109</v>
      </c>
      <c r="B80" s="22"/>
      <c r="C80" s="22"/>
      <c r="D80" s="23"/>
      <c r="E80" s="24"/>
      <c r="F80" s="24"/>
      <c r="G80" s="25">
        <f>IF(AND(ISNUMBER(E80),ISNUMBER(F80)),E80*F80,"")</f>
        <v>0</v>
      </c>
      <c r="H80" s="26">
        <f>IF(G80="","",IF(G80&gt;=15,"Kritiek",IF(G80&gt;=8,"Hoog",IF(G80&gt;=4,"Middel","Laag"))))</f>
        <v>0</v>
      </c>
      <c r="I80" s="23"/>
      <c r="J80" s="24"/>
      <c r="K80" s="24"/>
      <c r="L80" s="25">
        <f>IF(AND(ISNUMBER(J80),ISNUMBER(K80)),J80*K80,"")</f>
        <v>0</v>
      </c>
      <c r="M80" s="26">
        <f>IF(L80="","",IF(L80&gt;=15,"Kritiek",IF(L80&gt;=8,"Hoog",IF(L80&gt;=4,"Middel","Laag"))))</f>
        <v>0</v>
      </c>
      <c r="N80" s="22"/>
      <c r="O80" s="27"/>
      <c r="P80" s="27"/>
      <c r="Q80" s="27"/>
    </row>
    <row r="81" spans="1:17" ht="18" customHeight="1">
      <c r="A81" s="14" t="s">
        <v>110</v>
      </c>
      <c r="B81" s="15"/>
      <c r="C81" s="15"/>
      <c r="D81" s="16"/>
      <c r="E81" s="17"/>
      <c r="F81" s="17"/>
      <c r="G81" s="18">
        <f>IF(AND(ISNUMBER(E81),ISNUMBER(F81)),E81*F81,"")</f>
        <v>0</v>
      </c>
      <c r="H81" s="19">
        <f>IF(G81="","",IF(G81&gt;=15,"Kritiek",IF(G81&gt;=8,"Hoog",IF(G81&gt;=4,"Middel","Laag"))))</f>
        <v>0</v>
      </c>
      <c r="I81" s="16"/>
      <c r="J81" s="17"/>
      <c r="K81" s="17"/>
      <c r="L81" s="18">
        <f>IF(AND(ISNUMBER(J81),ISNUMBER(K81)),J81*K81,"")</f>
        <v>0</v>
      </c>
      <c r="M81" s="19">
        <f>IF(L81="","",IF(L81&gt;=15,"Kritiek",IF(L81&gt;=8,"Hoog",IF(L81&gt;=4,"Middel","Laag"))))</f>
        <v>0</v>
      </c>
      <c r="N81" s="15"/>
      <c r="O81" s="20"/>
      <c r="P81" s="20"/>
      <c r="Q81" s="20"/>
    </row>
    <row r="82" spans="1:17" ht="18" customHeight="1">
      <c r="A82" s="21" t="s">
        <v>111</v>
      </c>
      <c r="B82" s="22"/>
      <c r="C82" s="22"/>
      <c r="D82" s="23"/>
      <c r="E82" s="24"/>
      <c r="F82" s="24"/>
      <c r="G82" s="25">
        <f>IF(AND(ISNUMBER(E82),ISNUMBER(F82)),E82*F82,"")</f>
        <v>0</v>
      </c>
      <c r="H82" s="26">
        <f>IF(G82="","",IF(G82&gt;=15,"Kritiek",IF(G82&gt;=8,"Hoog",IF(G82&gt;=4,"Middel","Laag"))))</f>
        <v>0</v>
      </c>
      <c r="I82" s="23"/>
      <c r="J82" s="24"/>
      <c r="K82" s="24"/>
      <c r="L82" s="25">
        <f>IF(AND(ISNUMBER(J82),ISNUMBER(K82)),J82*K82,"")</f>
        <v>0</v>
      </c>
      <c r="M82" s="26">
        <f>IF(L82="","",IF(L82&gt;=15,"Kritiek",IF(L82&gt;=8,"Hoog",IF(L82&gt;=4,"Middel","Laag"))))</f>
        <v>0</v>
      </c>
      <c r="N82" s="22"/>
      <c r="O82" s="27"/>
      <c r="P82" s="27"/>
      <c r="Q82" s="27"/>
    </row>
    <row r="83" spans="1:17" ht="18" customHeight="1">
      <c r="A83" s="14" t="s">
        <v>112</v>
      </c>
      <c r="B83" s="15"/>
      <c r="C83" s="15"/>
      <c r="D83" s="16"/>
      <c r="E83" s="17"/>
      <c r="F83" s="17"/>
      <c r="G83" s="18">
        <f>IF(AND(ISNUMBER(E83),ISNUMBER(F83)),E83*F83,"")</f>
        <v>0</v>
      </c>
      <c r="H83" s="19">
        <f>IF(G83="","",IF(G83&gt;=15,"Kritiek",IF(G83&gt;=8,"Hoog",IF(G83&gt;=4,"Middel","Laag"))))</f>
        <v>0</v>
      </c>
      <c r="I83" s="16"/>
      <c r="J83" s="17"/>
      <c r="K83" s="17"/>
      <c r="L83" s="18">
        <f>IF(AND(ISNUMBER(J83),ISNUMBER(K83)),J83*K83,"")</f>
        <v>0</v>
      </c>
      <c r="M83" s="19">
        <f>IF(L83="","",IF(L83&gt;=15,"Kritiek",IF(L83&gt;=8,"Hoog",IF(L83&gt;=4,"Middel","Laag"))))</f>
        <v>0</v>
      </c>
      <c r="N83" s="15"/>
      <c r="O83" s="20"/>
      <c r="P83" s="20"/>
      <c r="Q83" s="20"/>
    </row>
    <row r="84" spans="1:17" ht="18" customHeight="1">
      <c r="A84" s="21" t="s">
        <v>113</v>
      </c>
      <c r="B84" s="22"/>
      <c r="C84" s="22"/>
      <c r="D84" s="23"/>
      <c r="E84" s="24"/>
      <c r="F84" s="24"/>
      <c r="G84" s="25">
        <f>IF(AND(ISNUMBER(E84),ISNUMBER(F84)),E84*F84,"")</f>
        <v>0</v>
      </c>
      <c r="H84" s="26">
        <f>IF(G84="","",IF(G84&gt;=15,"Kritiek",IF(G84&gt;=8,"Hoog",IF(G84&gt;=4,"Middel","Laag"))))</f>
        <v>0</v>
      </c>
      <c r="I84" s="23"/>
      <c r="J84" s="24"/>
      <c r="K84" s="24"/>
      <c r="L84" s="25">
        <f>IF(AND(ISNUMBER(J84),ISNUMBER(K84)),J84*K84,"")</f>
        <v>0</v>
      </c>
      <c r="M84" s="26">
        <f>IF(L84="","",IF(L84&gt;=15,"Kritiek",IF(L84&gt;=8,"Hoog",IF(L84&gt;=4,"Middel","Laag"))))</f>
        <v>0</v>
      </c>
      <c r="N84" s="22"/>
      <c r="O84" s="27"/>
      <c r="P84" s="27"/>
      <c r="Q84" s="27"/>
    </row>
    <row r="85" spans="1:17" ht="18" customHeight="1">
      <c r="A85" s="14" t="s">
        <v>114</v>
      </c>
      <c r="B85" s="15"/>
      <c r="C85" s="15"/>
      <c r="D85" s="16"/>
      <c r="E85" s="17"/>
      <c r="F85" s="17"/>
      <c r="G85" s="18">
        <f>IF(AND(ISNUMBER(E85),ISNUMBER(F85)),E85*F85,"")</f>
        <v>0</v>
      </c>
      <c r="H85" s="19">
        <f>IF(G85="","",IF(G85&gt;=15,"Kritiek",IF(G85&gt;=8,"Hoog",IF(G85&gt;=4,"Middel","Laag"))))</f>
        <v>0</v>
      </c>
      <c r="I85" s="16"/>
      <c r="J85" s="17"/>
      <c r="K85" s="17"/>
      <c r="L85" s="18">
        <f>IF(AND(ISNUMBER(J85),ISNUMBER(K85)),J85*K85,"")</f>
        <v>0</v>
      </c>
      <c r="M85" s="19">
        <f>IF(L85="","",IF(L85&gt;=15,"Kritiek",IF(L85&gt;=8,"Hoog",IF(L85&gt;=4,"Middel","Laag"))))</f>
        <v>0</v>
      </c>
      <c r="N85" s="15"/>
      <c r="O85" s="20"/>
      <c r="P85" s="20"/>
      <c r="Q85" s="20"/>
    </row>
    <row r="86" spans="1:17" ht="18" customHeight="1">
      <c r="A86" s="21" t="s">
        <v>115</v>
      </c>
      <c r="B86" s="22"/>
      <c r="C86" s="22"/>
      <c r="D86" s="23"/>
      <c r="E86" s="24"/>
      <c r="F86" s="24"/>
      <c r="G86" s="25">
        <f>IF(AND(ISNUMBER(E86),ISNUMBER(F86)),E86*F86,"")</f>
        <v>0</v>
      </c>
      <c r="H86" s="26">
        <f>IF(G86="","",IF(G86&gt;=15,"Kritiek",IF(G86&gt;=8,"Hoog",IF(G86&gt;=4,"Middel","Laag"))))</f>
        <v>0</v>
      </c>
      <c r="I86" s="23"/>
      <c r="J86" s="24"/>
      <c r="K86" s="24"/>
      <c r="L86" s="25">
        <f>IF(AND(ISNUMBER(J86),ISNUMBER(K86)),J86*K86,"")</f>
        <v>0</v>
      </c>
      <c r="M86" s="26">
        <f>IF(L86="","",IF(L86&gt;=15,"Kritiek",IF(L86&gt;=8,"Hoog",IF(L86&gt;=4,"Middel","Laag"))))</f>
        <v>0</v>
      </c>
      <c r="N86" s="22"/>
      <c r="O86" s="27"/>
      <c r="P86" s="27"/>
      <c r="Q86" s="27"/>
    </row>
    <row r="87" spans="1:17" ht="18" customHeight="1">
      <c r="A87" s="14" t="s">
        <v>116</v>
      </c>
      <c r="B87" s="15"/>
      <c r="C87" s="15"/>
      <c r="D87" s="16"/>
      <c r="E87" s="17"/>
      <c r="F87" s="17"/>
      <c r="G87" s="18">
        <f>IF(AND(ISNUMBER(E87),ISNUMBER(F87)),E87*F87,"")</f>
        <v>0</v>
      </c>
      <c r="H87" s="19">
        <f>IF(G87="","",IF(G87&gt;=15,"Kritiek",IF(G87&gt;=8,"Hoog",IF(G87&gt;=4,"Middel","Laag"))))</f>
        <v>0</v>
      </c>
      <c r="I87" s="16"/>
      <c r="J87" s="17"/>
      <c r="K87" s="17"/>
      <c r="L87" s="18">
        <f>IF(AND(ISNUMBER(J87),ISNUMBER(K87)),J87*K87,"")</f>
        <v>0</v>
      </c>
      <c r="M87" s="19">
        <f>IF(L87="","",IF(L87&gt;=15,"Kritiek",IF(L87&gt;=8,"Hoog",IF(L87&gt;=4,"Middel","Laag"))))</f>
        <v>0</v>
      </c>
      <c r="N87" s="15"/>
      <c r="O87" s="20"/>
      <c r="P87" s="20"/>
      <c r="Q87" s="20"/>
    </row>
    <row r="88" spans="1:17" ht="18" customHeight="1">
      <c r="A88" s="21" t="s">
        <v>117</v>
      </c>
      <c r="B88" s="22"/>
      <c r="C88" s="22"/>
      <c r="D88" s="23"/>
      <c r="E88" s="24"/>
      <c r="F88" s="24"/>
      <c r="G88" s="25">
        <f>IF(AND(ISNUMBER(E88),ISNUMBER(F88)),E88*F88,"")</f>
        <v>0</v>
      </c>
      <c r="H88" s="26">
        <f>IF(G88="","",IF(G88&gt;=15,"Kritiek",IF(G88&gt;=8,"Hoog",IF(G88&gt;=4,"Middel","Laag"))))</f>
        <v>0</v>
      </c>
      <c r="I88" s="23"/>
      <c r="J88" s="24"/>
      <c r="K88" s="24"/>
      <c r="L88" s="25">
        <f>IF(AND(ISNUMBER(J88),ISNUMBER(K88)),J88*K88,"")</f>
        <v>0</v>
      </c>
      <c r="M88" s="26">
        <f>IF(L88="","",IF(L88&gt;=15,"Kritiek",IF(L88&gt;=8,"Hoog",IF(L88&gt;=4,"Middel","Laag"))))</f>
        <v>0</v>
      </c>
      <c r="N88" s="22"/>
      <c r="O88" s="27"/>
      <c r="P88" s="27"/>
      <c r="Q88" s="27"/>
    </row>
    <row r="89" spans="1:17" ht="18" customHeight="1">
      <c r="A89" s="14" t="s">
        <v>118</v>
      </c>
      <c r="B89" s="15"/>
      <c r="C89" s="15"/>
      <c r="D89" s="16"/>
      <c r="E89" s="17"/>
      <c r="F89" s="17"/>
      <c r="G89" s="18">
        <f>IF(AND(ISNUMBER(E89),ISNUMBER(F89)),E89*F89,"")</f>
        <v>0</v>
      </c>
      <c r="H89" s="19">
        <f>IF(G89="","",IF(G89&gt;=15,"Kritiek",IF(G89&gt;=8,"Hoog",IF(G89&gt;=4,"Middel","Laag"))))</f>
        <v>0</v>
      </c>
      <c r="I89" s="16"/>
      <c r="J89" s="17"/>
      <c r="K89" s="17"/>
      <c r="L89" s="18">
        <f>IF(AND(ISNUMBER(J89),ISNUMBER(K89)),J89*K89,"")</f>
        <v>0</v>
      </c>
      <c r="M89" s="19">
        <f>IF(L89="","",IF(L89&gt;=15,"Kritiek",IF(L89&gt;=8,"Hoog",IF(L89&gt;=4,"Middel","Laag"))))</f>
        <v>0</v>
      </c>
      <c r="N89" s="15"/>
      <c r="O89" s="20"/>
      <c r="P89" s="20"/>
      <c r="Q89" s="20"/>
    </row>
    <row r="90" spans="1:17" ht="18" customHeight="1">
      <c r="A90" s="21" t="s">
        <v>119</v>
      </c>
      <c r="B90" s="22"/>
      <c r="C90" s="22"/>
      <c r="D90" s="23"/>
      <c r="E90" s="24"/>
      <c r="F90" s="24"/>
      <c r="G90" s="25">
        <f>IF(AND(ISNUMBER(E90),ISNUMBER(F90)),E90*F90,"")</f>
        <v>0</v>
      </c>
      <c r="H90" s="26">
        <f>IF(G90="","",IF(G90&gt;=15,"Kritiek",IF(G90&gt;=8,"Hoog",IF(G90&gt;=4,"Middel","Laag"))))</f>
        <v>0</v>
      </c>
      <c r="I90" s="23"/>
      <c r="J90" s="24"/>
      <c r="K90" s="24"/>
      <c r="L90" s="25">
        <f>IF(AND(ISNUMBER(J90),ISNUMBER(K90)),J90*K90,"")</f>
        <v>0</v>
      </c>
      <c r="M90" s="26">
        <f>IF(L90="","",IF(L90&gt;=15,"Kritiek",IF(L90&gt;=8,"Hoog",IF(L90&gt;=4,"Middel","Laag"))))</f>
        <v>0</v>
      </c>
      <c r="N90" s="22"/>
      <c r="O90" s="27"/>
      <c r="P90" s="27"/>
      <c r="Q90" s="27"/>
    </row>
    <row r="91" spans="1:17" ht="18" customHeight="1">
      <c r="A91" s="14" t="s">
        <v>120</v>
      </c>
      <c r="B91" s="15"/>
      <c r="C91" s="15"/>
      <c r="D91" s="16"/>
      <c r="E91" s="17"/>
      <c r="F91" s="17"/>
      <c r="G91" s="18">
        <f>IF(AND(ISNUMBER(E91),ISNUMBER(F91)),E91*F91,"")</f>
        <v>0</v>
      </c>
      <c r="H91" s="19">
        <f>IF(G91="","",IF(G91&gt;=15,"Kritiek",IF(G91&gt;=8,"Hoog",IF(G91&gt;=4,"Middel","Laag"))))</f>
        <v>0</v>
      </c>
      <c r="I91" s="16"/>
      <c r="J91" s="17"/>
      <c r="K91" s="17"/>
      <c r="L91" s="18">
        <f>IF(AND(ISNUMBER(J91),ISNUMBER(K91)),J91*K91,"")</f>
        <v>0</v>
      </c>
      <c r="M91" s="19">
        <f>IF(L91="","",IF(L91&gt;=15,"Kritiek",IF(L91&gt;=8,"Hoog",IF(L91&gt;=4,"Middel","Laag"))))</f>
        <v>0</v>
      </c>
      <c r="N91" s="15"/>
      <c r="O91" s="20"/>
      <c r="P91" s="20"/>
      <c r="Q91" s="20"/>
    </row>
    <row r="92" spans="1:17" ht="18" customHeight="1">
      <c r="A92" s="21" t="s">
        <v>121</v>
      </c>
      <c r="B92" s="22"/>
      <c r="C92" s="22"/>
      <c r="D92" s="23"/>
      <c r="E92" s="24"/>
      <c r="F92" s="24"/>
      <c r="G92" s="25">
        <f>IF(AND(ISNUMBER(E92),ISNUMBER(F92)),E92*F92,"")</f>
        <v>0</v>
      </c>
      <c r="H92" s="26">
        <f>IF(G92="","",IF(G92&gt;=15,"Kritiek",IF(G92&gt;=8,"Hoog",IF(G92&gt;=4,"Middel","Laag"))))</f>
        <v>0</v>
      </c>
      <c r="I92" s="23"/>
      <c r="J92" s="24"/>
      <c r="K92" s="24"/>
      <c r="L92" s="25">
        <f>IF(AND(ISNUMBER(J92),ISNUMBER(K92)),J92*K92,"")</f>
        <v>0</v>
      </c>
      <c r="M92" s="26">
        <f>IF(L92="","",IF(L92&gt;=15,"Kritiek",IF(L92&gt;=8,"Hoog",IF(L92&gt;=4,"Middel","Laag"))))</f>
        <v>0</v>
      </c>
      <c r="N92" s="22"/>
      <c r="O92" s="27"/>
      <c r="P92" s="27"/>
      <c r="Q92" s="27"/>
    </row>
    <row r="93" spans="1:17" ht="18" customHeight="1">
      <c r="A93" s="14" t="s">
        <v>122</v>
      </c>
      <c r="B93" s="15"/>
      <c r="C93" s="15"/>
      <c r="D93" s="16"/>
      <c r="E93" s="17"/>
      <c r="F93" s="17"/>
      <c r="G93" s="18">
        <f>IF(AND(ISNUMBER(E93),ISNUMBER(F93)),E93*F93,"")</f>
        <v>0</v>
      </c>
      <c r="H93" s="19">
        <f>IF(G93="","",IF(G93&gt;=15,"Kritiek",IF(G93&gt;=8,"Hoog",IF(G93&gt;=4,"Middel","Laag"))))</f>
        <v>0</v>
      </c>
      <c r="I93" s="16"/>
      <c r="J93" s="17"/>
      <c r="K93" s="17"/>
      <c r="L93" s="18">
        <f>IF(AND(ISNUMBER(J93),ISNUMBER(K93)),J93*K93,"")</f>
        <v>0</v>
      </c>
      <c r="M93" s="19">
        <f>IF(L93="","",IF(L93&gt;=15,"Kritiek",IF(L93&gt;=8,"Hoog",IF(L93&gt;=4,"Middel","Laag"))))</f>
        <v>0</v>
      </c>
      <c r="N93" s="15"/>
      <c r="O93" s="20"/>
      <c r="P93" s="20"/>
      <c r="Q93" s="20"/>
    </row>
    <row r="94" spans="1:17" ht="18" customHeight="1">
      <c r="A94" s="21" t="s">
        <v>123</v>
      </c>
      <c r="B94" s="22"/>
      <c r="C94" s="22"/>
      <c r="D94" s="23"/>
      <c r="E94" s="24"/>
      <c r="F94" s="24"/>
      <c r="G94" s="25">
        <f>IF(AND(ISNUMBER(E94),ISNUMBER(F94)),E94*F94,"")</f>
        <v>0</v>
      </c>
      <c r="H94" s="26">
        <f>IF(G94="","",IF(G94&gt;=15,"Kritiek",IF(G94&gt;=8,"Hoog",IF(G94&gt;=4,"Middel","Laag"))))</f>
        <v>0</v>
      </c>
      <c r="I94" s="23"/>
      <c r="J94" s="24"/>
      <c r="K94" s="24"/>
      <c r="L94" s="25">
        <f>IF(AND(ISNUMBER(J94),ISNUMBER(K94)),J94*K94,"")</f>
        <v>0</v>
      </c>
      <c r="M94" s="26">
        <f>IF(L94="","",IF(L94&gt;=15,"Kritiek",IF(L94&gt;=8,"Hoog",IF(L94&gt;=4,"Middel","Laag"))))</f>
        <v>0</v>
      </c>
      <c r="N94" s="22"/>
      <c r="O94" s="27"/>
      <c r="P94" s="27"/>
      <c r="Q94" s="27"/>
    </row>
    <row r="95" spans="1:17" ht="18" customHeight="1">
      <c r="A95" s="14" t="s">
        <v>124</v>
      </c>
      <c r="B95" s="15"/>
      <c r="C95" s="15"/>
      <c r="D95" s="16"/>
      <c r="E95" s="17"/>
      <c r="F95" s="17"/>
      <c r="G95" s="18">
        <f>IF(AND(ISNUMBER(E95),ISNUMBER(F95)),E95*F95,"")</f>
        <v>0</v>
      </c>
      <c r="H95" s="19">
        <f>IF(G95="","",IF(G95&gt;=15,"Kritiek",IF(G95&gt;=8,"Hoog",IF(G95&gt;=4,"Middel","Laag"))))</f>
        <v>0</v>
      </c>
      <c r="I95" s="16"/>
      <c r="J95" s="17"/>
      <c r="K95" s="17"/>
      <c r="L95" s="18">
        <f>IF(AND(ISNUMBER(J95),ISNUMBER(K95)),J95*K95,"")</f>
        <v>0</v>
      </c>
      <c r="M95" s="19">
        <f>IF(L95="","",IF(L95&gt;=15,"Kritiek",IF(L95&gt;=8,"Hoog",IF(L95&gt;=4,"Middel","Laag"))))</f>
        <v>0</v>
      </c>
      <c r="N95" s="15"/>
      <c r="O95" s="20"/>
      <c r="P95" s="20"/>
      <c r="Q95" s="20"/>
    </row>
    <row r="96" spans="1:17" ht="18" customHeight="1">
      <c r="A96" s="21" t="s">
        <v>125</v>
      </c>
      <c r="B96" s="22"/>
      <c r="C96" s="22"/>
      <c r="D96" s="23"/>
      <c r="E96" s="24"/>
      <c r="F96" s="24"/>
      <c r="G96" s="25">
        <f>IF(AND(ISNUMBER(E96),ISNUMBER(F96)),E96*F96,"")</f>
        <v>0</v>
      </c>
      <c r="H96" s="26">
        <f>IF(G96="","",IF(G96&gt;=15,"Kritiek",IF(G96&gt;=8,"Hoog",IF(G96&gt;=4,"Middel","Laag"))))</f>
        <v>0</v>
      </c>
      <c r="I96" s="23"/>
      <c r="J96" s="24"/>
      <c r="K96" s="24"/>
      <c r="L96" s="25">
        <f>IF(AND(ISNUMBER(J96),ISNUMBER(K96)),J96*K96,"")</f>
        <v>0</v>
      </c>
      <c r="M96" s="26">
        <f>IF(L96="","",IF(L96&gt;=15,"Kritiek",IF(L96&gt;=8,"Hoog",IF(L96&gt;=4,"Middel","Laag"))))</f>
        <v>0</v>
      </c>
      <c r="N96" s="22"/>
      <c r="O96" s="27"/>
      <c r="P96" s="27"/>
      <c r="Q96" s="27"/>
    </row>
    <row r="97" spans="1:17" ht="18" customHeight="1">
      <c r="A97" s="14" t="s">
        <v>126</v>
      </c>
      <c r="B97" s="15"/>
      <c r="C97" s="15"/>
      <c r="D97" s="16"/>
      <c r="E97" s="17"/>
      <c r="F97" s="17"/>
      <c r="G97" s="18">
        <f>IF(AND(ISNUMBER(E97),ISNUMBER(F97)),E97*F97,"")</f>
        <v>0</v>
      </c>
      <c r="H97" s="19">
        <f>IF(G97="","",IF(G97&gt;=15,"Kritiek",IF(G97&gt;=8,"Hoog",IF(G97&gt;=4,"Middel","Laag"))))</f>
        <v>0</v>
      </c>
      <c r="I97" s="16"/>
      <c r="J97" s="17"/>
      <c r="K97" s="17"/>
      <c r="L97" s="18">
        <f>IF(AND(ISNUMBER(J97),ISNUMBER(K97)),J97*K97,"")</f>
        <v>0</v>
      </c>
      <c r="M97" s="19">
        <f>IF(L97="","",IF(L97&gt;=15,"Kritiek",IF(L97&gt;=8,"Hoog",IF(L97&gt;=4,"Middel","Laag"))))</f>
        <v>0</v>
      </c>
      <c r="N97" s="15"/>
      <c r="O97" s="20"/>
      <c r="P97" s="20"/>
      <c r="Q97" s="20"/>
    </row>
    <row r="98" spans="1:17" ht="18" customHeight="1">
      <c r="A98" s="21" t="s">
        <v>127</v>
      </c>
      <c r="B98" s="22"/>
      <c r="C98" s="22"/>
      <c r="D98" s="23"/>
      <c r="E98" s="24"/>
      <c r="F98" s="24"/>
      <c r="G98" s="25">
        <f>IF(AND(ISNUMBER(E98),ISNUMBER(F98)),E98*F98,"")</f>
        <v>0</v>
      </c>
      <c r="H98" s="26">
        <f>IF(G98="","",IF(G98&gt;=15,"Kritiek",IF(G98&gt;=8,"Hoog",IF(G98&gt;=4,"Middel","Laag"))))</f>
        <v>0</v>
      </c>
      <c r="I98" s="23"/>
      <c r="J98" s="24"/>
      <c r="K98" s="24"/>
      <c r="L98" s="25">
        <f>IF(AND(ISNUMBER(J98),ISNUMBER(K98)),J98*K98,"")</f>
        <v>0</v>
      </c>
      <c r="M98" s="26">
        <f>IF(L98="","",IF(L98&gt;=15,"Kritiek",IF(L98&gt;=8,"Hoog",IF(L98&gt;=4,"Middel","Laag"))))</f>
        <v>0</v>
      </c>
      <c r="N98" s="22"/>
      <c r="O98" s="27"/>
      <c r="P98" s="27"/>
      <c r="Q98" s="27"/>
    </row>
    <row r="99" spans="1:17" ht="18" customHeight="1">
      <c r="A99" s="14" t="s">
        <v>128</v>
      </c>
      <c r="B99" s="15"/>
      <c r="C99" s="15"/>
      <c r="D99" s="16"/>
      <c r="E99" s="17"/>
      <c r="F99" s="17"/>
      <c r="G99" s="18">
        <f>IF(AND(ISNUMBER(E99),ISNUMBER(F99)),E99*F99,"")</f>
        <v>0</v>
      </c>
      <c r="H99" s="19">
        <f>IF(G99="","",IF(G99&gt;=15,"Kritiek",IF(G99&gt;=8,"Hoog",IF(G99&gt;=4,"Middel","Laag"))))</f>
        <v>0</v>
      </c>
      <c r="I99" s="16"/>
      <c r="J99" s="17"/>
      <c r="K99" s="17"/>
      <c r="L99" s="18">
        <f>IF(AND(ISNUMBER(J99),ISNUMBER(K99)),J99*K99,"")</f>
        <v>0</v>
      </c>
      <c r="M99" s="19">
        <f>IF(L99="","",IF(L99&gt;=15,"Kritiek",IF(L99&gt;=8,"Hoog",IF(L99&gt;=4,"Middel","Laag"))))</f>
        <v>0</v>
      </c>
      <c r="N99" s="15"/>
      <c r="O99" s="20"/>
      <c r="P99" s="20"/>
      <c r="Q99" s="20"/>
    </row>
    <row r="100" spans="1:17" ht="18" customHeight="1">
      <c r="A100" s="21" t="s">
        <v>129</v>
      </c>
      <c r="B100" s="22"/>
      <c r="C100" s="22"/>
      <c r="D100" s="23"/>
      <c r="E100" s="24"/>
      <c r="F100" s="24"/>
      <c r="G100" s="25">
        <f>IF(AND(ISNUMBER(E100),ISNUMBER(F100)),E100*F100,"")</f>
        <v>0</v>
      </c>
      <c r="H100" s="26">
        <f>IF(G100="","",IF(G100&gt;=15,"Kritiek",IF(G100&gt;=8,"Hoog",IF(G100&gt;=4,"Middel","Laag"))))</f>
        <v>0</v>
      </c>
      <c r="I100" s="23"/>
      <c r="J100" s="24"/>
      <c r="K100" s="24"/>
      <c r="L100" s="25">
        <f>IF(AND(ISNUMBER(J100),ISNUMBER(K100)),J100*K100,"")</f>
        <v>0</v>
      </c>
      <c r="M100" s="26">
        <f>IF(L100="","",IF(L100&gt;=15,"Kritiek",IF(L100&gt;=8,"Hoog",IF(L100&gt;=4,"Middel","Laag"))))</f>
        <v>0</v>
      </c>
      <c r="N100" s="22"/>
      <c r="O100" s="27"/>
      <c r="P100" s="27"/>
      <c r="Q100" s="27"/>
    </row>
    <row r="101" spans="1:17" ht="18" customHeight="1">
      <c r="A101" s="14" t="s">
        <v>130</v>
      </c>
      <c r="B101" s="15"/>
      <c r="C101" s="15"/>
      <c r="D101" s="16"/>
      <c r="E101" s="17"/>
      <c r="F101" s="17"/>
      <c r="G101" s="18">
        <f>IF(AND(ISNUMBER(E101),ISNUMBER(F101)),E101*F101,"")</f>
        <v>0</v>
      </c>
      <c r="H101" s="19">
        <f>IF(G101="","",IF(G101&gt;=15,"Kritiek",IF(G101&gt;=8,"Hoog",IF(G101&gt;=4,"Middel","Laag"))))</f>
        <v>0</v>
      </c>
      <c r="I101" s="16"/>
      <c r="J101" s="17"/>
      <c r="K101" s="17"/>
      <c r="L101" s="18">
        <f>IF(AND(ISNUMBER(J101),ISNUMBER(K101)),J101*K101,"")</f>
        <v>0</v>
      </c>
      <c r="M101" s="19">
        <f>IF(L101="","",IF(L101&gt;=15,"Kritiek",IF(L101&gt;=8,"Hoog",IF(L101&gt;=4,"Middel","Laag"))))</f>
        <v>0</v>
      </c>
      <c r="N101" s="15"/>
      <c r="O101" s="20"/>
      <c r="P101" s="20"/>
      <c r="Q101" s="20"/>
    </row>
    <row r="102" spans="1:17" ht="18" customHeight="1">
      <c r="A102" s="21" t="s">
        <v>131</v>
      </c>
      <c r="B102" s="22"/>
      <c r="C102" s="22"/>
      <c r="D102" s="23"/>
      <c r="E102" s="24"/>
      <c r="F102" s="24"/>
      <c r="G102" s="25">
        <f>IF(AND(ISNUMBER(E102),ISNUMBER(F102)),E102*F102,"")</f>
        <v>0</v>
      </c>
      <c r="H102" s="26">
        <f>IF(G102="","",IF(G102&gt;=15,"Kritiek",IF(G102&gt;=8,"Hoog",IF(G102&gt;=4,"Middel","Laag"))))</f>
        <v>0</v>
      </c>
      <c r="I102" s="23"/>
      <c r="J102" s="24"/>
      <c r="K102" s="24"/>
      <c r="L102" s="25">
        <f>IF(AND(ISNUMBER(J102),ISNUMBER(K102)),J102*K102,"")</f>
        <v>0</v>
      </c>
      <c r="M102" s="26">
        <f>IF(L102="","",IF(L102&gt;=15,"Kritiek",IF(L102&gt;=8,"Hoog",IF(L102&gt;=4,"Middel","Laag"))))</f>
        <v>0</v>
      </c>
      <c r="N102" s="22"/>
      <c r="O102" s="27"/>
      <c r="P102" s="27"/>
      <c r="Q102" s="27"/>
    </row>
    <row r="103" spans="1:17" ht="18" customHeight="1">
      <c r="A103" s="14" t="s">
        <v>132</v>
      </c>
      <c r="B103" s="15"/>
      <c r="C103" s="15"/>
      <c r="D103" s="16"/>
      <c r="E103" s="17"/>
      <c r="F103" s="17"/>
      <c r="G103" s="18">
        <f>IF(AND(ISNUMBER(E103),ISNUMBER(F103)),E103*F103,"")</f>
        <v>0</v>
      </c>
      <c r="H103" s="19">
        <f>IF(G103="","",IF(G103&gt;=15,"Kritiek",IF(G103&gt;=8,"Hoog",IF(G103&gt;=4,"Middel","Laag"))))</f>
        <v>0</v>
      </c>
      <c r="I103" s="16"/>
      <c r="J103" s="17"/>
      <c r="K103" s="17"/>
      <c r="L103" s="18">
        <f>IF(AND(ISNUMBER(J103),ISNUMBER(K103)),J103*K103,"")</f>
        <v>0</v>
      </c>
      <c r="M103" s="19">
        <f>IF(L103="","",IF(L103&gt;=15,"Kritiek",IF(L103&gt;=8,"Hoog",IF(L103&gt;=4,"Middel","Laag"))))</f>
        <v>0</v>
      </c>
      <c r="N103" s="15"/>
      <c r="O103" s="20"/>
      <c r="P103" s="20"/>
      <c r="Q103" s="20"/>
    </row>
    <row r="104" spans="1:17" ht="18" customHeight="1">
      <c r="A104" s="21" t="s">
        <v>133</v>
      </c>
      <c r="B104" s="22"/>
      <c r="C104" s="22"/>
      <c r="D104" s="23"/>
      <c r="E104" s="24"/>
      <c r="F104" s="24"/>
      <c r="G104" s="25">
        <f>IF(AND(ISNUMBER(E104),ISNUMBER(F104)),E104*F104,"")</f>
        <v>0</v>
      </c>
      <c r="H104" s="26">
        <f>IF(G104="","",IF(G104&gt;=15,"Kritiek",IF(G104&gt;=8,"Hoog",IF(G104&gt;=4,"Middel","Laag"))))</f>
        <v>0</v>
      </c>
      <c r="I104" s="23"/>
      <c r="J104" s="24"/>
      <c r="K104" s="24"/>
      <c r="L104" s="25">
        <f>IF(AND(ISNUMBER(J104),ISNUMBER(K104)),J104*K104,"")</f>
        <v>0</v>
      </c>
      <c r="M104" s="26">
        <f>IF(L104="","",IF(L104&gt;=15,"Kritiek",IF(L104&gt;=8,"Hoog",IF(L104&gt;=4,"Middel","Laag"))))</f>
        <v>0</v>
      </c>
      <c r="N104" s="22"/>
      <c r="O104" s="27"/>
      <c r="P104" s="27"/>
      <c r="Q104" s="27"/>
    </row>
    <row r="105" spans="1:17" ht="18" customHeight="1">
      <c r="A105" s="14" t="s">
        <v>134</v>
      </c>
      <c r="B105" s="15"/>
      <c r="C105" s="15"/>
      <c r="D105" s="16"/>
      <c r="E105" s="17"/>
      <c r="F105" s="17"/>
      <c r="G105" s="18">
        <f>IF(AND(ISNUMBER(E105),ISNUMBER(F105)),E105*F105,"")</f>
        <v>0</v>
      </c>
      <c r="H105" s="19">
        <f>IF(G105="","",IF(G105&gt;=15,"Kritiek",IF(G105&gt;=8,"Hoog",IF(G105&gt;=4,"Middel","Laag"))))</f>
        <v>0</v>
      </c>
      <c r="I105" s="16"/>
      <c r="J105" s="17"/>
      <c r="K105" s="17"/>
      <c r="L105" s="18">
        <f>IF(AND(ISNUMBER(J105),ISNUMBER(K105)),J105*K105,"")</f>
        <v>0</v>
      </c>
      <c r="M105" s="19">
        <f>IF(L105="","",IF(L105&gt;=15,"Kritiek",IF(L105&gt;=8,"Hoog",IF(L105&gt;=4,"Middel","Laag"))))</f>
        <v>0</v>
      </c>
      <c r="N105" s="15"/>
      <c r="O105" s="20"/>
      <c r="P105" s="20"/>
      <c r="Q105" s="20"/>
    </row>
    <row r="106" spans="1:17" ht="18" customHeight="1">
      <c r="A106" s="21" t="s">
        <v>135</v>
      </c>
      <c r="B106" s="22"/>
      <c r="C106" s="22"/>
      <c r="D106" s="23"/>
      <c r="E106" s="24"/>
      <c r="F106" s="24"/>
      <c r="G106" s="25">
        <f>IF(AND(ISNUMBER(E106),ISNUMBER(F106)),E106*F106,"")</f>
        <v>0</v>
      </c>
      <c r="H106" s="26">
        <f>IF(G106="","",IF(G106&gt;=15,"Kritiek",IF(G106&gt;=8,"Hoog",IF(G106&gt;=4,"Middel","Laag"))))</f>
        <v>0</v>
      </c>
      <c r="I106" s="23"/>
      <c r="J106" s="24"/>
      <c r="K106" s="24"/>
      <c r="L106" s="25">
        <f>IF(AND(ISNUMBER(J106),ISNUMBER(K106)),J106*K106,"")</f>
        <v>0</v>
      </c>
      <c r="M106" s="26">
        <f>IF(L106="","",IF(L106&gt;=15,"Kritiek",IF(L106&gt;=8,"Hoog",IF(L106&gt;=4,"Middel","Laag"))))</f>
        <v>0</v>
      </c>
      <c r="N106" s="22"/>
      <c r="O106" s="27"/>
      <c r="P106" s="27"/>
      <c r="Q106" s="27"/>
    </row>
    <row r="107" spans="1:17" ht="18" customHeight="1">
      <c r="A107" s="14" t="s">
        <v>136</v>
      </c>
      <c r="B107" s="15"/>
      <c r="C107" s="15"/>
      <c r="D107" s="16"/>
      <c r="E107" s="17"/>
      <c r="F107" s="17"/>
      <c r="G107" s="18">
        <f>IF(AND(ISNUMBER(E107),ISNUMBER(F107)),E107*F107,"")</f>
        <v>0</v>
      </c>
      <c r="H107" s="19">
        <f>IF(G107="","",IF(G107&gt;=15,"Kritiek",IF(G107&gt;=8,"Hoog",IF(G107&gt;=4,"Middel","Laag"))))</f>
        <v>0</v>
      </c>
      <c r="I107" s="16"/>
      <c r="J107" s="17"/>
      <c r="K107" s="17"/>
      <c r="L107" s="18">
        <f>IF(AND(ISNUMBER(J107),ISNUMBER(K107)),J107*K107,"")</f>
        <v>0</v>
      </c>
      <c r="M107" s="19">
        <f>IF(L107="","",IF(L107&gt;=15,"Kritiek",IF(L107&gt;=8,"Hoog",IF(L107&gt;=4,"Middel","Laag"))))</f>
        <v>0</v>
      </c>
      <c r="N107" s="15"/>
      <c r="O107" s="20"/>
      <c r="P107" s="20"/>
      <c r="Q107" s="20"/>
    </row>
    <row r="108" spans="1:17" ht="18" customHeight="1">
      <c r="A108" s="21" t="s">
        <v>137</v>
      </c>
      <c r="B108" s="22"/>
      <c r="C108" s="22"/>
      <c r="D108" s="23"/>
      <c r="E108" s="24"/>
      <c r="F108" s="24"/>
      <c r="G108" s="25">
        <f>IF(AND(ISNUMBER(E108),ISNUMBER(F108)),E108*F108,"")</f>
        <v>0</v>
      </c>
      <c r="H108" s="26">
        <f>IF(G108="","",IF(G108&gt;=15,"Kritiek",IF(G108&gt;=8,"Hoog",IF(G108&gt;=4,"Middel","Laag"))))</f>
        <v>0</v>
      </c>
      <c r="I108" s="23"/>
      <c r="J108" s="24"/>
      <c r="K108" s="24"/>
      <c r="L108" s="25">
        <f>IF(AND(ISNUMBER(J108),ISNUMBER(K108)),J108*K108,"")</f>
        <v>0</v>
      </c>
      <c r="M108" s="26">
        <f>IF(L108="","",IF(L108&gt;=15,"Kritiek",IF(L108&gt;=8,"Hoog",IF(L108&gt;=4,"Middel","Laag"))))</f>
        <v>0</v>
      </c>
      <c r="N108" s="22"/>
      <c r="O108" s="27"/>
      <c r="P108" s="27"/>
      <c r="Q108" s="27"/>
    </row>
    <row r="109" spans="1:17" ht="18" customHeight="1">
      <c r="A109" s="14" t="s">
        <v>138</v>
      </c>
      <c r="B109" s="15"/>
      <c r="C109" s="15"/>
      <c r="D109" s="16"/>
      <c r="E109" s="17"/>
      <c r="F109" s="17"/>
      <c r="G109" s="18">
        <f>IF(AND(ISNUMBER(E109),ISNUMBER(F109)),E109*F109,"")</f>
        <v>0</v>
      </c>
      <c r="H109" s="19">
        <f>IF(G109="","",IF(G109&gt;=15,"Kritiek",IF(G109&gt;=8,"Hoog",IF(G109&gt;=4,"Middel","Laag"))))</f>
        <v>0</v>
      </c>
      <c r="I109" s="16"/>
      <c r="J109" s="17"/>
      <c r="K109" s="17"/>
      <c r="L109" s="18">
        <f>IF(AND(ISNUMBER(J109),ISNUMBER(K109)),J109*K109,"")</f>
        <v>0</v>
      </c>
      <c r="M109" s="19">
        <f>IF(L109="","",IF(L109&gt;=15,"Kritiek",IF(L109&gt;=8,"Hoog",IF(L109&gt;=4,"Middel","Laag"))))</f>
        <v>0</v>
      </c>
      <c r="N109" s="15"/>
      <c r="O109" s="20"/>
      <c r="P109" s="20"/>
      <c r="Q109" s="20"/>
    </row>
    <row r="110" spans="1:17" ht="18" customHeight="1">
      <c r="A110" s="21" t="s">
        <v>139</v>
      </c>
      <c r="B110" s="22"/>
      <c r="C110" s="22"/>
      <c r="D110" s="23"/>
      <c r="E110" s="24"/>
      <c r="F110" s="24"/>
      <c r="G110" s="25">
        <f>IF(AND(ISNUMBER(E110),ISNUMBER(F110)),E110*F110,"")</f>
        <v>0</v>
      </c>
      <c r="H110" s="26">
        <f>IF(G110="","",IF(G110&gt;=15,"Kritiek",IF(G110&gt;=8,"Hoog",IF(G110&gt;=4,"Middel","Laag"))))</f>
        <v>0</v>
      </c>
      <c r="I110" s="23"/>
      <c r="J110" s="24"/>
      <c r="K110" s="24"/>
      <c r="L110" s="25">
        <f>IF(AND(ISNUMBER(J110),ISNUMBER(K110)),J110*K110,"")</f>
        <v>0</v>
      </c>
      <c r="M110" s="26">
        <f>IF(L110="","",IF(L110&gt;=15,"Kritiek",IF(L110&gt;=8,"Hoog",IF(L110&gt;=4,"Middel","Laag"))))</f>
        <v>0</v>
      </c>
      <c r="N110" s="22"/>
      <c r="O110" s="27"/>
      <c r="P110" s="27"/>
      <c r="Q110" s="27"/>
    </row>
    <row r="111" spans="1:17" ht="18" customHeight="1">
      <c r="A111" s="14" t="s">
        <v>140</v>
      </c>
      <c r="B111" s="15"/>
      <c r="C111" s="15"/>
      <c r="D111" s="16"/>
      <c r="E111" s="17"/>
      <c r="F111" s="17"/>
      <c r="G111" s="18">
        <f>IF(AND(ISNUMBER(E111),ISNUMBER(F111)),E111*F111,"")</f>
        <v>0</v>
      </c>
      <c r="H111" s="19">
        <f>IF(G111="","",IF(G111&gt;=15,"Kritiek",IF(G111&gt;=8,"Hoog",IF(G111&gt;=4,"Middel","Laag"))))</f>
        <v>0</v>
      </c>
      <c r="I111" s="16"/>
      <c r="J111" s="17"/>
      <c r="K111" s="17"/>
      <c r="L111" s="18">
        <f>IF(AND(ISNUMBER(J111),ISNUMBER(K111)),J111*K111,"")</f>
        <v>0</v>
      </c>
      <c r="M111" s="19">
        <f>IF(L111="","",IF(L111&gt;=15,"Kritiek",IF(L111&gt;=8,"Hoog",IF(L111&gt;=4,"Middel","Laag"))))</f>
        <v>0</v>
      </c>
      <c r="N111" s="15"/>
      <c r="O111" s="20"/>
      <c r="P111" s="20"/>
      <c r="Q111" s="20"/>
    </row>
    <row r="112" spans="1:17" ht="18" customHeight="1">
      <c r="A112" s="21" t="s">
        <v>141</v>
      </c>
      <c r="B112" s="22"/>
      <c r="C112" s="22"/>
      <c r="D112" s="23"/>
      <c r="E112" s="24"/>
      <c r="F112" s="24"/>
      <c r="G112" s="25">
        <f>IF(AND(ISNUMBER(E112),ISNUMBER(F112)),E112*F112,"")</f>
        <v>0</v>
      </c>
      <c r="H112" s="26">
        <f>IF(G112="","",IF(G112&gt;=15,"Kritiek",IF(G112&gt;=8,"Hoog",IF(G112&gt;=4,"Middel","Laag"))))</f>
        <v>0</v>
      </c>
      <c r="I112" s="23"/>
      <c r="J112" s="24"/>
      <c r="K112" s="24"/>
      <c r="L112" s="25">
        <f>IF(AND(ISNUMBER(J112),ISNUMBER(K112)),J112*K112,"")</f>
        <v>0</v>
      </c>
      <c r="M112" s="26">
        <f>IF(L112="","",IF(L112&gt;=15,"Kritiek",IF(L112&gt;=8,"Hoog",IF(L112&gt;=4,"Middel","Laag"))))</f>
        <v>0</v>
      </c>
      <c r="N112" s="22"/>
      <c r="O112" s="27"/>
      <c r="P112" s="27"/>
      <c r="Q112" s="27"/>
    </row>
    <row r="113" spans="1:17" ht="18" customHeight="1">
      <c r="A113" s="14" t="s">
        <v>142</v>
      </c>
      <c r="B113" s="15"/>
      <c r="C113" s="15"/>
      <c r="D113" s="16"/>
      <c r="E113" s="17"/>
      <c r="F113" s="17"/>
      <c r="G113" s="18">
        <f>IF(AND(ISNUMBER(E113),ISNUMBER(F113)),E113*F113,"")</f>
        <v>0</v>
      </c>
      <c r="H113" s="19">
        <f>IF(G113="","",IF(G113&gt;=15,"Kritiek",IF(G113&gt;=8,"Hoog",IF(G113&gt;=4,"Middel","Laag"))))</f>
        <v>0</v>
      </c>
      <c r="I113" s="16"/>
      <c r="J113" s="17"/>
      <c r="K113" s="17"/>
      <c r="L113" s="18">
        <f>IF(AND(ISNUMBER(J113),ISNUMBER(K113)),J113*K113,"")</f>
        <v>0</v>
      </c>
      <c r="M113" s="19">
        <f>IF(L113="","",IF(L113&gt;=15,"Kritiek",IF(L113&gt;=8,"Hoog",IF(L113&gt;=4,"Middel","Laag"))))</f>
        <v>0</v>
      </c>
      <c r="N113" s="15"/>
      <c r="O113" s="20"/>
      <c r="P113" s="20"/>
      <c r="Q113" s="20"/>
    </row>
    <row r="114" spans="1:17" ht="18" customHeight="1">
      <c r="A114" s="21" t="s">
        <v>143</v>
      </c>
      <c r="B114" s="22"/>
      <c r="C114" s="22"/>
      <c r="D114" s="23"/>
      <c r="E114" s="24"/>
      <c r="F114" s="24"/>
      <c r="G114" s="25">
        <f>IF(AND(ISNUMBER(E114),ISNUMBER(F114)),E114*F114,"")</f>
        <v>0</v>
      </c>
      <c r="H114" s="26">
        <f>IF(G114="","",IF(G114&gt;=15,"Kritiek",IF(G114&gt;=8,"Hoog",IF(G114&gt;=4,"Middel","Laag"))))</f>
        <v>0</v>
      </c>
      <c r="I114" s="23"/>
      <c r="J114" s="24"/>
      <c r="K114" s="24"/>
      <c r="L114" s="25">
        <f>IF(AND(ISNUMBER(J114),ISNUMBER(K114)),J114*K114,"")</f>
        <v>0</v>
      </c>
      <c r="M114" s="26">
        <f>IF(L114="","",IF(L114&gt;=15,"Kritiek",IF(L114&gt;=8,"Hoog",IF(L114&gt;=4,"Middel","Laag"))))</f>
        <v>0</v>
      </c>
      <c r="N114" s="22"/>
      <c r="O114" s="27"/>
      <c r="P114" s="27"/>
      <c r="Q114" s="27"/>
    </row>
    <row r="115" spans="1:17" ht="18" customHeight="1">
      <c r="A115" s="14" t="s">
        <v>144</v>
      </c>
      <c r="B115" s="15"/>
      <c r="C115" s="15"/>
      <c r="D115" s="16"/>
      <c r="E115" s="17"/>
      <c r="F115" s="17"/>
      <c r="G115" s="18">
        <f>IF(AND(ISNUMBER(E115),ISNUMBER(F115)),E115*F115,"")</f>
        <v>0</v>
      </c>
      <c r="H115" s="19">
        <f>IF(G115="","",IF(G115&gt;=15,"Kritiek",IF(G115&gt;=8,"Hoog",IF(G115&gt;=4,"Middel","Laag"))))</f>
        <v>0</v>
      </c>
      <c r="I115" s="16"/>
      <c r="J115" s="17"/>
      <c r="K115" s="17"/>
      <c r="L115" s="18">
        <f>IF(AND(ISNUMBER(J115),ISNUMBER(K115)),J115*K115,"")</f>
        <v>0</v>
      </c>
      <c r="M115" s="19">
        <f>IF(L115="","",IF(L115&gt;=15,"Kritiek",IF(L115&gt;=8,"Hoog",IF(L115&gt;=4,"Middel","Laag"))))</f>
        <v>0</v>
      </c>
      <c r="N115" s="15"/>
      <c r="O115" s="20"/>
      <c r="P115" s="20"/>
      <c r="Q115" s="20"/>
    </row>
    <row r="116" spans="1:17" ht="18" customHeight="1">
      <c r="A116" s="21" t="s">
        <v>145</v>
      </c>
      <c r="B116" s="22"/>
      <c r="C116" s="22"/>
      <c r="D116" s="23"/>
      <c r="E116" s="24"/>
      <c r="F116" s="24"/>
      <c r="G116" s="25">
        <f>IF(AND(ISNUMBER(E116),ISNUMBER(F116)),E116*F116,"")</f>
        <v>0</v>
      </c>
      <c r="H116" s="26">
        <f>IF(G116="","",IF(G116&gt;=15,"Kritiek",IF(G116&gt;=8,"Hoog",IF(G116&gt;=4,"Middel","Laag"))))</f>
        <v>0</v>
      </c>
      <c r="I116" s="23"/>
      <c r="J116" s="24"/>
      <c r="K116" s="24"/>
      <c r="L116" s="25">
        <f>IF(AND(ISNUMBER(J116),ISNUMBER(K116)),J116*K116,"")</f>
        <v>0</v>
      </c>
      <c r="M116" s="26">
        <f>IF(L116="","",IF(L116&gt;=15,"Kritiek",IF(L116&gt;=8,"Hoog",IF(L116&gt;=4,"Middel","Laag"))))</f>
        <v>0</v>
      </c>
      <c r="N116" s="22"/>
      <c r="O116" s="27"/>
      <c r="P116" s="27"/>
      <c r="Q116" s="27"/>
    </row>
    <row r="117" spans="1:17" ht="18" customHeight="1">
      <c r="A117" s="14" t="s">
        <v>146</v>
      </c>
      <c r="B117" s="15"/>
      <c r="C117" s="15"/>
      <c r="D117" s="16"/>
      <c r="E117" s="17"/>
      <c r="F117" s="17"/>
      <c r="G117" s="18">
        <f>IF(AND(ISNUMBER(E117),ISNUMBER(F117)),E117*F117,"")</f>
        <v>0</v>
      </c>
      <c r="H117" s="19">
        <f>IF(G117="","",IF(G117&gt;=15,"Kritiek",IF(G117&gt;=8,"Hoog",IF(G117&gt;=4,"Middel","Laag"))))</f>
        <v>0</v>
      </c>
      <c r="I117" s="16"/>
      <c r="J117" s="17"/>
      <c r="K117" s="17"/>
      <c r="L117" s="18">
        <f>IF(AND(ISNUMBER(J117),ISNUMBER(K117)),J117*K117,"")</f>
        <v>0</v>
      </c>
      <c r="M117" s="19">
        <f>IF(L117="","",IF(L117&gt;=15,"Kritiek",IF(L117&gt;=8,"Hoog",IF(L117&gt;=4,"Middel","Laag"))))</f>
        <v>0</v>
      </c>
      <c r="N117" s="15"/>
      <c r="O117" s="20"/>
      <c r="P117" s="20"/>
      <c r="Q117" s="20"/>
    </row>
    <row r="118" spans="1:17" ht="18" customHeight="1">
      <c r="A118" s="21" t="s">
        <v>147</v>
      </c>
      <c r="B118" s="22"/>
      <c r="C118" s="22"/>
      <c r="D118" s="23"/>
      <c r="E118" s="24"/>
      <c r="F118" s="24"/>
      <c r="G118" s="25">
        <f>IF(AND(ISNUMBER(E118),ISNUMBER(F118)),E118*F118,"")</f>
        <v>0</v>
      </c>
      <c r="H118" s="26">
        <f>IF(G118="","",IF(G118&gt;=15,"Kritiek",IF(G118&gt;=8,"Hoog",IF(G118&gt;=4,"Middel","Laag"))))</f>
        <v>0</v>
      </c>
      <c r="I118" s="23"/>
      <c r="J118" s="24"/>
      <c r="K118" s="24"/>
      <c r="L118" s="25">
        <f>IF(AND(ISNUMBER(J118),ISNUMBER(K118)),J118*K118,"")</f>
        <v>0</v>
      </c>
      <c r="M118" s="26">
        <f>IF(L118="","",IF(L118&gt;=15,"Kritiek",IF(L118&gt;=8,"Hoog",IF(L118&gt;=4,"Middel","Laag"))))</f>
        <v>0</v>
      </c>
      <c r="N118" s="22"/>
      <c r="O118" s="27"/>
      <c r="P118" s="27"/>
      <c r="Q118" s="27"/>
    </row>
    <row r="119" spans="1:17" ht="18" customHeight="1">
      <c r="A119" s="14" t="s">
        <v>148</v>
      </c>
      <c r="B119" s="15"/>
      <c r="C119" s="15"/>
      <c r="D119" s="16"/>
      <c r="E119" s="17"/>
      <c r="F119" s="17"/>
      <c r="G119" s="18">
        <f>IF(AND(ISNUMBER(E119),ISNUMBER(F119)),E119*F119,"")</f>
        <v>0</v>
      </c>
      <c r="H119" s="19">
        <f>IF(G119="","",IF(G119&gt;=15,"Kritiek",IF(G119&gt;=8,"Hoog",IF(G119&gt;=4,"Middel","Laag"))))</f>
        <v>0</v>
      </c>
      <c r="I119" s="16"/>
      <c r="J119" s="17"/>
      <c r="K119" s="17"/>
      <c r="L119" s="18">
        <f>IF(AND(ISNUMBER(J119),ISNUMBER(K119)),J119*K119,"")</f>
        <v>0</v>
      </c>
      <c r="M119" s="19">
        <f>IF(L119="","",IF(L119&gt;=15,"Kritiek",IF(L119&gt;=8,"Hoog",IF(L119&gt;=4,"Middel","Laag"))))</f>
        <v>0</v>
      </c>
      <c r="N119" s="15"/>
      <c r="O119" s="20"/>
      <c r="P119" s="20"/>
      <c r="Q119" s="20"/>
    </row>
    <row r="120" spans="1:17" ht="18" customHeight="1">
      <c r="A120" s="21" t="s">
        <v>149</v>
      </c>
      <c r="B120" s="22"/>
      <c r="C120" s="22"/>
      <c r="D120" s="23"/>
      <c r="E120" s="24"/>
      <c r="F120" s="24"/>
      <c r="G120" s="25">
        <f>IF(AND(ISNUMBER(E120),ISNUMBER(F120)),E120*F120,"")</f>
        <v>0</v>
      </c>
      <c r="H120" s="26">
        <f>IF(G120="","",IF(G120&gt;=15,"Kritiek",IF(G120&gt;=8,"Hoog",IF(G120&gt;=4,"Middel","Laag"))))</f>
        <v>0</v>
      </c>
      <c r="I120" s="23"/>
      <c r="J120" s="24"/>
      <c r="K120" s="24"/>
      <c r="L120" s="25">
        <f>IF(AND(ISNUMBER(J120),ISNUMBER(K120)),J120*K120,"")</f>
        <v>0</v>
      </c>
      <c r="M120" s="26">
        <f>IF(L120="","",IF(L120&gt;=15,"Kritiek",IF(L120&gt;=8,"Hoog",IF(L120&gt;=4,"Middel","Laag"))))</f>
        <v>0</v>
      </c>
      <c r="N120" s="22"/>
      <c r="O120" s="27"/>
      <c r="P120" s="27"/>
      <c r="Q120" s="27"/>
    </row>
    <row r="121" spans="1:17" ht="18" customHeight="1">
      <c r="A121" s="14" t="s">
        <v>150</v>
      </c>
      <c r="B121" s="15"/>
      <c r="C121" s="15"/>
      <c r="D121" s="16"/>
      <c r="E121" s="17"/>
      <c r="F121" s="17"/>
      <c r="G121" s="18">
        <f>IF(AND(ISNUMBER(E121),ISNUMBER(F121)),E121*F121,"")</f>
        <v>0</v>
      </c>
      <c r="H121" s="19">
        <f>IF(G121="","",IF(G121&gt;=15,"Kritiek",IF(G121&gt;=8,"Hoog",IF(G121&gt;=4,"Middel","Laag"))))</f>
        <v>0</v>
      </c>
      <c r="I121" s="16"/>
      <c r="J121" s="17"/>
      <c r="K121" s="17"/>
      <c r="L121" s="18">
        <f>IF(AND(ISNUMBER(J121),ISNUMBER(K121)),J121*K121,"")</f>
        <v>0</v>
      </c>
      <c r="M121" s="19">
        <f>IF(L121="","",IF(L121&gt;=15,"Kritiek",IF(L121&gt;=8,"Hoog",IF(L121&gt;=4,"Middel","Laag"))))</f>
        <v>0</v>
      </c>
      <c r="N121" s="15"/>
      <c r="O121" s="20"/>
      <c r="P121" s="20"/>
      <c r="Q121" s="20"/>
    </row>
    <row r="122" spans="1:17" ht="18" customHeight="1">
      <c r="A122" s="21" t="s">
        <v>151</v>
      </c>
      <c r="B122" s="22"/>
      <c r="C122" s="22"/>
      <c r="D122" s="23"/>
      <c r="E122" s="24"/>
      <c r="F122" s="24"/>
      <c r="G122" s="25">
        <f>IF(AND(ISNUMBER(E122),ISNUMBER(F122)),E122*F122,"")</f>
        <v>0</v>
      </c>
      <c r="H122" s="26">
        <f>IF(G122="","",IF(G122&gt;=15,"Kritiek",IF(G122&gt;=8,"Hoog",IF(G122&gt;=4,"Middel","Laag"))))</f>
        <v>0</v>
      </c>
      <c r="I122" s="23"/>
      <c r="J122" s="24"/>
      <c r="K122" s="24"/>
      <c r="L122" s="25">
        <f>IF(AND(ISNUMBER(J122),ISNUMBER(K122)),J122*K122,"")</f>
        <v>0</v>
      </c>
      <c r="M122" s="26">
        <f>IF(L122="","",IF(L122&gt;=15,"Kritiek",IF(L122&gt;=8,"Hoog",IF(L122&gt;=4,"Middel","Laag"))))</f>
        <v>0</v>
      </c>
      <c r="N122" s="22"/>
      <c r="O122" s="27"/>
      <c r="P122" s="27"/>
      <c r="Q122" s="27"/>
    </row>
    <row r="123" spans="1:17" ht="18" customHeight="1">
      <c r="A123" s="14" t="s">
        <v>152</v>
      </c>
      <c r="B123" s="15"/>
      <c r="C123" s="15"/>
      <c r="D123" s="16"/>
      <c r="E123" s="17"/>
      <c r="F123" s="17"/>
      <c r="G123" s="18">
        <f>IF(AND(ISNUMBER(E123),ISNUMBER(F123)),E123*F123,"")</f>
        <v>0</v>
      </c>
      <c r="H123" s="19">
        <f>IF(G123="","",IF(G123&gt;=15,"Kritiek",IF(G123&gt;=8,"Hoog",IF(G123&gt;=4,"Middel","Laag"))))</f>
        <v>0</v>
      </c>
      <c r="I123" s="16"/>
      <c r="J123" s="17"/>
      <c r="K123" s="17"/>
      <c r="L123" s="18">
        <f>IF(AND(ISNUMBER(J123),ISNUMBER(K123)),J123*K123,"")</f>
        <v>0</v>
      </c>
      <c r="M123" s="19">
        <f>IF(L123="","",IF(L123&gt;=15,"Kritiek",IF(L123&gt;=8,"Hoog",IF(L123&gt;=4,"Middel","Laag"))))</f>
        <v>0</v>
      </c>
      <c r="N123" s="15"/>
      <c r="O123" s="20"/>
      <c r="P123" s="20"/>
      <c r="Q123" s="20"/>
    </row>
    <row r="124" spans="1:17" ht="18" customHeight="1">
      <c r="A124" s="21" t="s">
        <v>153</v>
      </c>
      <c r="B124" s="22"/>
      <c r="C124" s="22"/>
      <c r="D124" s="23"/>
      <c r="E124" s="24"/>
      <c r="F124" s="24"/>
      <c r="G124" s="25">
        <f>IF(AND(ISNUMBER(E124),ISNUMBER(F124)),E124*F124,"")</f>
        <v>0</v>
      </c>
      <c r="H124" s="26">
        <f>IF(G124="","",IF(G124&gt;=15,"Kritiek",IF(G124&gt;=8,"Hoog",IF(G124&gt;=4,"Middel","Laag"))))</f>
        <v>0</v>
      </c>
      <c r="I124" s="23"/>
      <c r="J124" s="24"/>
      <c r="K124" s="24"/>
      <c r="L124" s="25">
        <f>IF(AND(ISNUMBER(J124),ISNUMBER(K124)),J124*K124,"")</f>
        <v>0</v>
      </c>
      <c r="M124" s="26">
        <f>IF(L124="","",IF(L124&gt;=15,"Kritiek",IF(L124&gt;=8,"Hoog",IF(L124&gt;=4,"Middel","Laag"))))</f>
        <v>0</v>
      </c>
      <c r="N124" s="22"/>
      <c r="O124" s="27"/>
      <c r="P124" s="27"/>
      <c r="Q124" s="27"/>
    </row>
    <row r="125" spans="1:17" ht="18" customHeight="1">
      <c r="A125" s="14" t="s">
        <v>154</v>
      </c>
      <c r="B125" s="15"/>
      <c r="C125" s="15"/>
      <c r="D125" s="16"/>
      <c r="E125" s="17"/>
      <c r="F125" s="17"/>
      <c r="G125" s="18">
        <f>IF(AND(ISNUMBER(E125),ISNUMBER(F125)),E125*F125,"")</f>
        <v>0</v>
      </c>
      <c r="H125" s="19">
        <f>IF(G125="","",IF(G125&gt;=15,"Kritiek",IF(G125&gt;=8,"Hoog",IF(G125&gt;=4,"Middel","Laag"))))</f>
        <v>0</v>
      </c>
      <c r="I125" s="16"/>
      <c r="J125" s="17"/>
      <c r="K125" s="17"/>
      <c r="L125" s="18">
        <f>IF(AND(ISNUMBER(J125),ISNUMBER(K125)),J125*K125,"")</f>
        <v>0</v>
      </c>
      <c r="M125" s="19">
        <f>IF(L125="","",IF(L125&gt;=15,"Kritiek",IF(L125&gt;=8,"Hoog",IF(L125&gt;=4,"Middel","Laag"))))</f>
        <v>0</v>
      </c>
      <c r="N125" s="15"/>
      <c r="O125" s="20"/>
      <c r="P125" s="20"/>
      <c r="Q125" s="20"/>
    </row>
    <row r="126" spans="1:17" ht="18" customHeight="1">
      <c r="A126" s="21" t="s">
        <v>155</v>
      </c>
      <c r="B126" s="22"/>
      <c r="C126" s="22"/>
      <c r="D126" s="23"/>
      <c r="E126" s="24"/>
      <c r="F126" s="24"/>
      <c r="G126" s="25">
        <f>IF(AND(ISNUMBER(E126),ISNUMBER(F126)),E126*F126,"")</f>
        <v>0</v>
      </c>
      <c r="H126" s="26">
        <f>IF(G126="","",IF(G126&gt;=15,"Kritiek",IF(G126&gt;=8,"Hoog",IF(G126&gt;=4,"Middel","Laag"))))</f>
        <v>0</v>
      </c>
      <c r="I126" s="23"/>
      <c r="J126" s="24"/>
      <c r="K126" s="24"/>
      <c r="L126" s="25">
        <f>IF(AND(ISNUMBER(J126),ISNUMBER(K126)),J126*K126,"")</f>
        <v>0</v>
      </c>
      <c r="M126" s="26">
        <f>IF(L126="","",IF(L126&gt;=15,"Kritiek",IF(L126&gt;=8,"Hoog",IF(L126&gt;=4,"Middel","Laag"))))</f>
        <v>0</v>
      </c>
      <c r="N126" s="22"/>
      <c r="O126" s="27"/>
      <c r="P126" s="27"/>
      <c r="Q126" s="27"/>
    </row>
    <row r="127" spans="1:17" ht="18" customHeight="1">
      <c r="A127" s="14" t="s">
        <v>156</v>
      </c>
      <c r="B127" s="15"/>
      <c r="C127" s="15"/>
      <c r="D127" s="16"/>
      <c r="E127" s="17"/>
      <c r="F127" s="17"/>
      <c r="G127" s="18">
        <f>IF(AND(ISNUMBER(E127),ISNUMBER(F127)),E127*F127,"")</f>
        <v>0</v>
      </c>
      <c r="H127" s="19">
        <f>IF(G127="","",IF(G127&gt;=15,"Kritiek",IF(G127&gt;=8,"Hoog",IF(G127&gt;=4,"Middel","Laag"))))</f>
        <v>0</v>
      </c>
      <c r="I127" s="16"/>
      <c r="J127" s="17"/>
      <c r="K127" s="17"/>
      <c r="L127" s="18">
        <f>IF(AND(ISNUMBER(J127),ISNUMBER(K127)),J127*K127,"")</f>
        <v>0</v>
      </c>
      <c r="M127" s="19">
        <f>IF(L127="","",IF(L127&gt;=15,"Kritiek",IF(L127&gt;=8,"Hoog",IF(L127&gt;=4,"Middel","Laag"))))</f>
        <v>0</v>
      </c>
      <c r="N127" s="15"/>
      <c r="O127" s="20"/>
      <c r="P127" s="20"/>
      <c r="Q127" s="20"/>
    </row>
    <row r="128" spans="1:17" ht="18" customHeight="1">
      <c r="A128" s="21" t="s">
        <v>157</v>
      </c>
      <c r="B128" s="22"/>
      <c r="C128" s="22"/>
      <c r="D128" s="23"/>
      <c r="E128" s="24"/>
      <c r="F128" s="24"/>
      <c r="G128" s="25">
        <f>IF(AND(ISNUMBER(E128),ISNUMBER(F128)),E128*F128,"")</f>
        <v>0</v>
      </c>
      <c r="H128" s="26">
        <f>IF(G128="","",IF(G128&gt;=15,"Kritiek",IF(G128&gt;=8,"Hoog",IF(G128&gt;=4,"Middel","Laag"))))</f>
        <v>0</v>
      </c>
      <c r="I128" s="23"/>
      <c r="J128" s="24"/>
      <c r="K128" s="24"/>
      <c r="L128" s="25">
        <f>IF(AND(ISNUMBER(J128),ISNUMBER(K128)),J128*K128,"")</f>
        <v>0</v>
      </c>
      <c r="M128" s="26">
        <f>IF(L128="","",IF(L128&gt;=15,"Kritiek",IF(L128&gt;=8,"Hoog",IF(L128&gt;=4,"Middel","Laag"))))</f>
        <v>0</v>
      </c>
      <c r="N128" s="22"/>
      <c r="O128" s="27"/>
      <c r="P128" s="27"/>
      <c r="Q128" s="27"/>
    </row>
    <row r="129" spans="1:17" ht="18" customHeight="1">
      <c r="A129" s="14" t="s">
        <v>158</v>
      </c>
      <c r="B129" s="15"/>
      <c r="C129" s="15"/>
      <c r="D129" s="16"/>
      <c r="E129" s="17"/>
      <c r="F129" s="17"/>
      <c r="G129" s="18">
        <f>IF(AND(ISNUMBER(E129),ISNUMBER(F129)),E129*F129,"")</f>
        <v>0</v>
      </c>
      <c r="H129" s="19">
        <f>IF(G129="","",IF(G129&gt;=15,"Kritiek",IF(G129&gt;=8,"Hoog",IF(G129&gt;=4,"Middel","Laag"))))</f>
        <v>0</v>
      </c>
      <c r="I129" s="16"/>
      <c r="J129" s="17"/>
      <c r="K129" s="17"/>
      <c r="L129" s="18">
        <f>IF(AND(ISNUMBER(J129),ISNUMBER(K129)),J129*K129,"")</f>
        <v>0</v>
      </c>
      <c r="M129" s="19">
        <f>IF(L129="","",IF(L129&gt;=15,"Kritiek",IF(L129&gt;=8,"Hoog",IF(L129&gt;=4,"Middel","Laag"))))</f>
        <v>0</v>
      </c>
      <c r="N129" s="15"/>
      <c r="O129" s="20"/>
      <c r="P129" s="20"/>
      <c r="Q129" s="20"/>
    </row>
    <row r="130" spans="1:17" ht="18" customHeight="1">
      <c r="A130" s="21" t="s">
        <v>159</v>
      </c>
      <c r="B130" s="22"/>
      <c r="C130" s="22"/>
      <c r="D130" s="23"/>
      <c r="E130" s="24"/>
      <c r="F130" s="24"/>
      <c r="G130" s="25">
        <f>IF(AND(ISNUMBER(E130),ISNUMBER(F130)),E130*F130,"")</f>
        <v>0</v>
      </c>
      <c r="H130" s="26">
        <f>IF(G130="","",IF(G130&gt;=15,"Kritiek",IF(G130&gt;=8,"Hoog",IF(G130&gt;=4,"Middel","Laag"))))</f>
        <v>0</v>
      </c>
      <c r="I130" s="23"/>
      <c r="J130" s="24"/>
      <c r="K130" s="24"/>
      <c r="L130" s="25">
        <f>IF(AND(ISNUMBER(J130),ISNUMBER(K130)),J130*K130,"")</f>
        <v>0</v>
      </c>
      <c r="M130" s="26">
        <f>IF(L130="","",IF(L130&gt;=15,"Kritiek",IF(L130&gt;=8,"Hoog",IF(L130&gt;=4,"Middel","Laag"))))</f>
        <v>0</v>
      </c>
      <c r="N130" s="22"/>
      <c r="O130" s="27"/>
      <c r="P130" s="27"/>
      <c r="Q130" s="27"/>
    </row>
    <row r="131" spans="1:17" ht="18" customHeight="1">
      <c r="A131" s="14" t="s">
        <v>160</v>
      </c>
      <c r="B131" s="15"/>
      <c r="C131" s="15"/>
      <c r="D131" s="16"/>
      <c r="E131" s="17"/>
      <c r="F131" s="17"/>
      <c r="G131" s="18">
        <f>IF(AND(ISNUMBER(E131),ISNUMBER(F131)),E131*F131,"")</f>
        <v>0</v>
      </c>
      <c r="H131" s="19">
        <f>IF(G131="","",IF(G131&gt;=15,"Kritiek",IF(G131&gt;=8,"Hoog",IF(G131&gt;=4,"Middel","Laag"))))</f>
        <v>0</v>
      </c>
      <c r="I131" s="16"/>
      <c r="J131" s="17"/>
      <c r="K131" s="17"/>
      <c r="L131" s="18">
        <f>IF(AND(ISNUMBER(J131),ISNUMBER(K131)),J131*K131,"")</f>
        <v>0</v>
      </c>
      <c r="M131" s="19">
        <f>IF(L131="","",IF(L131&gt;=15,"Kritiek",IF(L131&gt;=8,"Hoog",IF(L131&gt;=4,"Middel","Laag"))))</f>
        <v>0</v>
      </c>
      <c r="N131" s="15"/>
      <c r="O131" s="20"/>
      <c r="P131" s="20"/>
      <c r="Q131" s="20"/>
    </row>
    <row r="132" spans="1:17" ht="18" customHeight="1">
      <c r="A132" s="21" t="s">
        <v>161</v>
      </c>
      <c r="B132" s="22"/>
      <c r="C132" s="22"/>
      <c r="D132" s="23"/>
      <c r="E132" s="24"/>
      <c r="F132" s="24"/>
      <c r="G132" s="25">
        <f>IF(AND(ISNUMBER(E132),ISNUMBER(F132)),E132*F132,"")</f>
        <v>0</v>
      </c>
      <c r="H132" s="26">
        <f>IF(G132="","",IF(G132&gt;=15,"Kritiek",IF(G132&gt;=8,"Hoog",IF(G132&gt;=4,"Middel","Laag"))))</f>
        <v>0</v>
      </c>
      <c r="I132" s="23"/>
      <c r="J132" s="24"/>
      <c r="K132" s="24"/>
      <c r="L132" s="25">
        <f>IF(AND(ISNUMBER(J132),ISNUMBER(K132)),J132*K132,"")</f>
        <v>0</v>
      </c>
      <c r="M132" s="26">
        <f>IF(L132="","",IF(L132&gt;=15,"Kritiek",IF(L132&gt;=8,"Hoog",IF(L132&gt;=4,"Middel","Laag"))))</f>
        <v>0</v>
      </c>
      <c r="N132" s="22"/>
      <c r="O132" s="27"/>
      <c r="P132" s="27"/>
      <c r="Q132" s="27"/>
    </row>
    <row r="133" spans="1:17" ht="18" customHeight="1">
      <c r="A133" s="14" t="s">
        <v>162</v>
      </c>
      <c r="B133" s="15"/>
      <c r="C133" s="15"/>
      <c r="D133" s="16"/>
      <c r="E133" s="17"/>
      <c r="F133" s="17"/>
      <c r="G133" s="18">
        <f>IF(AND(ISNUMBER(E133),ISNUMBER(F133)),E133*F133,"")</f>
        <v>0</v>
      </c>
      <c r="H133" s="19">
        <f>IF(G133="","",IF(G133&gt;=15,"Kritiek",IF(G133&gt;=8,"Hoog",IF(G133&gt;=4,"Middel","Laag"))))</f>
        <v>0</v>
      </c>
      <c r="I133" s="16"/>
      <c r="J133" s="17"/>
      <c r="K133" s="17"/>
      <c r="L133" s="18">
        <f>IF(AND(ISNUMBER(J133),ISNUMBER(K133)),J133*K133,"")</f>
        <v>0</v>
      </c>
      <c r="M133" s="19">
        <f>IF(L133="","",IF(L133&gt;=15,"Kritiek",IF(L133&gt;=8,"Hoog",IF(L133&gt;=4,"Middel","Laag"))))</f>
        <v>0</v>
      </c>
      <c r="N133" s="15"/>
      <c r="O133" s="20"/>
      <c r="P133" s="20"/>
      <c r="Q133" s="20"/>
    </row>
    <row r="134" spans="1:17" ht="18" customHeight="1">
      <c r="A134" s="21" t="s">
        <v>163</v>
      </c>
      <c r="B134" s="22"/>
      <c r="C134" s="22"/>
      <c r="D134" s="23"/>
      <c r="E134" s="24"/>
      <c r="F134" s="24"/>
      <c r="G134" s="25">
        <f>IF(AND(ISNUMBER(E134),ISNUMBER(F134)),E134*F134,"")</f>
        <v>0</v>
      </c>
      <c r="H134" s="26">
        <f>IF(G134="","",IF(G134&gt;=15,"Kritiek",IF(G134&gt;=8,"Hoog",IF(G134&gt;=4,"Middel","Laag"))))</f>
        <v>0</v>
      </c>
      <c r="I134" s="23"/>
      <c r="J134" s="24"/>
      <c r="K134" s="24"/>
      <c r="L134" s="25">
        <f>IF(AND(ISNUMBER(J134),ISNUMBER(K134)),J134*K134,"")</f>
        <v>0</v>
      </c>
      <c r="M134" s="26">
        <f>IF(L134="","",IF(L134&gt;=15,"Kritiek",IF(L134&gt;=8,"Hoog",IF(L134&gt;=4,"Middel","Laag"))))</f>
        <v>0</v>
      </c>
      <c r="N134" s="22"/>
      <c r="O134" s="27"/>
      <c r="P134" s="27"/>
      <c r="Q134" s="27"/>
    </row>
    <row r="135" spans="1:17" ht="18" customHeight="1">
      <c r="A135" s="14" t="s">
        <v>164</v>
      </c>
      <c r="B135" s="15"/>
      <c r="C135" s="15"/>
      <c r="D135" s="16"/>
      <c r="E135" s="17"/>
      <c r="F135" s="17"/>
      <c r="G135" s="18">
        <f>IF(AND(ISNUMBER(E135),ISNUMBER(F135)),E135*F135,"")</f>
        <v>0</v>
      </c>
      <c r="H135" s="19">
        <f>IF(G135="","",IF(G135&gt;=15,"Kritiek",IF(G135&gt;=8,"Hoog",IF(G135&gt;=4,"Middel","Laag"))))</f>
        <v>0</v>
      </c>
      <c r="I135" s="16"/>
      <c r="J135" s="17"/>
      <c r="K135" s="17"/>
      <c r="L135" s="18">
        <f>IF(AND(ISNUMBER(J135),ISNUMBER(K135)),J135*K135,"")</f>
        <v>0</v>
      </c>
      <c r="M135" s="19">
        <f>IF(L135="","",IF(L135&gt;=15,"Kritiek",IF(L135&gt;=8,"Hoog",IF(L135&gt;=4,"Middel","Laag"))))</f>
        <v>0</v>
      </c>
      <c r="N135" s="15"/>
      <c r="O135" s="20"/>
      <c r="P135" s="20"/>
      <c r="Q135" s="20"/>
    </row>
    <row r="136" spans="1:17" ht="18" customHeight="1">
      <c r="A136" s="21" t="s">
        <v>165</v>
      </c>
      <c r="B136" s="22"/>
      <c r="C136" s="22"/>
      <c r="D136" s="23"/>
      <c r="E136" s="24"/>
      <c r="F136" s="24"/>
      <c r="G136" s="25">
        <f>IF(AND(ISNUMBER(E136),ISNUMBER(F136)),E136*F136,"")</f>
        <v>0</v>
      </c>
      <c r="H136" s="26">
        <f>IF(G136="","",IF(G136&gt;=15,"Kritiek",IF(G136&gt;=8,"Hoog",IF(G136&gt;=4,"Middel","Laag"))))</f>
        <v>0</v>
      </c>
      <c r="I136" s="23"/>
      <c r="J136" s="24"/>
      <c r="K136" s="24"/>
      <c r="L136" s="25">
        <f>IF(AND(ISNUMBER(J136),ISNUMBER(K136)),J136*K136,"")</f>
        <v>0</v>
      </c>
      <c r="M136" s="26">
        <f>IF(L136="","",IF(L136&gt;=15,"Kritiek",IF(L136&gt;=8,"Hoog",IF(L136&gt;=4,"Middel","Laag"))))</f>
        <v>0</v>
      </c>
      <c r="N136" s="22"/>
      <c r="O136" s="27"/>
      <c r="P136" s="27"/>
      <c r="Q136" s="27"/>
    </row>
    <row r="137" spans="1:17" ht="18" customHeight="1">
      <c r="A137" s="14" t="s">
        <v>166</v>
      </c>
      <c r="B137" s="15"/>
      <c r="C137" s="15"/>
      <c r="D137" s="16"/>
      <c r="E137" s="17"/>
      <c r="F137" s="17"/>
      <c r="G137" s="18">
        <f>IF(AND(ISNUMBER(E137),ISNUMBER(F137)),E137*F137,"")</f>
        <v>0</v>
      </c>
      <c r="H137" s="19">
        <f>IF(G137="","",IF(G137&gt;=15,"Kritiek",IF(G137&gt;=8,"Hoog",IF(G137&gt;=4,"Middel","Laag"))))</f>
        <v>0</v>
      </c>
      <c r="I137" s="16"/>
      <c r="J137" s="17"/>
      <c r="K137" s="17"/>
      <c r="L137" s="18">
        <f>IF(AND(ISNUMBER(J137),ISNUMBER(K137)),J137*K137,"")</f>
        <v>0</v>
      </c>
      <c r="M137" s="19">
        <f>IF(L137="","",IF(L137&gt;=15,"Kritiek",IF(L137&gt;=8,"Hoog",IF(L137&gt;=4,"Middel","Laag"))))</f>
        <v>0</v>
      </c>
      <c r="N137" s="15"/>
      <c r="O137" s="20"/>
      <c r="P137" s="20"/>
      <c r="Q137" s="20"/>
    </row>
    <row r="138" spans="1:17" ht="18" customHeight="1">
      <c r="A138" s="21" t="s">
        <v>167</v>
      </c>
      <c r="B138" s="22"/>
      <c r="C138" s="22"/>
      <c r="D138" s="23"/>
      <c r="E138" s="24"/>
      <c r="F138" s="24"/>
      <c r="G138" s="25">
        <f>IF(AND(ISNUMBER(E138),ISNUMBER(F138)),E138*F138,"")</f>
        <v>0</v>
      </c>
      <c r="H138" s="26">
        <f>IF(G138="","",IF(G138&gt;=15,"Kritiek",IF(G138&gt;=8,"Hoog",IF(G138&gt;=4,"Middel","Laag"))))</f>
        <v>0</v>
      </c>
      <c r="I138" s="23"/>
      <c r="J138" s="24"/>
      <c r="K138" s="24"/>
      <c r="L138" s="25">
        <f>IF(AND(ISNUMBER(J138),ISNUMBER(K138)),J138*K138,"")</f>
        <v>0</v>
      </c>
      <c r="M138" s="26">
        <f>IF(L138="","",IF(L138&gt;=15,"Kritiek",IF(L138&gt;=8,"Hoog",IF(L138&gt;=4,"Middel","Laag"))))</f>
        <v>0</v>
      </c>
      <c r="N138" s="22"/>
      <c r="O138" s="27"/>
      <c r="P138" s="27"/>
      <c r="Q138" s="27"/>
    </row>
    <row r="139" spans="1:17" ht="18" customHeight="1">
      <c r="A139" s="14" t="s">
        <v>168</v>
      </c>
      <c r="B139" s="15"/>
      <c r="C139" s="15"/>
      <c r="D139" s="16"/>
      <c r="E139" s="17"/>
      <c r="F139" s="17"/>
      <c r="G139" s="18">
        <f>IF(AND(ISNUMBER(E139),ISNUMBER(F139)),E139*F139,"")</f>
        <v>0</v>
      </c>
      <c r="H139" s="19">
        <f>IF(G139="","",IF(G139&gt;=15,"Kritiek",IF(G139&gt;=8,"Hoog",IF(G139&gt;=4,"Middel","Laag"))))</f>
        <v>0</v>
      </c>
      <c r="I139" s="16"/>
      <c r="J139" s="17"/>
      <c r="K139" s="17"/>
      <c r="L139" s="18">
        <f>IF(AND(ISNUMBER(J139),ISNUMBER(K139)),J139*K139,"")</f>
        <v>0</v>
      </c>
      <c r="M139" s="19">
        <f>IF(L139="","",IF(L139&gt;=15,"Kritiek",IF(L139&gt;=8,"Hoog",IF(L139&gt;=4,"Middel","Laag"))))</f>
        <v>0</v>
      </c>
      <c r="N139" s="15"/>
      <c r="O139" s="20"/>
      <c r="P139" s="20"/>
      <c r="Q139" s="20"/>
    </row>
    <row r="140" spans="1:17" ht="18" customHeight="1">
      <c r="A140" s="21" t="s">
        <v>169</v>
      </c>
      <c r="B140" s="22"/>
      <c r="C140" s="22"/>
      <c r="D140" s="23"/>
      <c r="E140" s="24"/>
      <c r="F140" s="24"/>
      <c r="G140" s="25">
        <f>IF(AND(ISNUMBER(E140),ISNUMBER(F140)),E140*F140,"")</f>
        <v>0</v>
      </c>
      <c r="H140" s="26">
        <f>IF(G140="","",IF(G140&gt;=15,"Kritiek",IF(G140&gt;=8,"Hoog",IF(G140&gt;=4,"Middel","Laag"))))</f>
        <v>0</v>
      </c>
      <c r="I140" s="23"/>
      <c r="J140" s="24"/>
      <c r="K140" s="24"/>
      <c r="L140" s="25">
        <f>IF(AND(ISNUMBER(J140),ISNUMBER(K140)),J140*K140,"")</f>
        <v>0</v>
      </c>
      <c r="M140" s="26">
        <f>IF(L140="","",IF(L140&gt;=15,"Kritiek",IF(L140&gt;=8,"Hoog",IF(L140&gt;=4,"Middel","Laag"))))</f>
        <v>0</v>
      </c>
      <c r="N140" s="22"/>
      <c r="O140" s="27"/>
      <c r="P140" s="27"/>
      <c r="Q140" s="27"/>
    </row>
    <row r="141" spans="1:17" ht="18" customHeight="1">
      <c r="A141" s="14" t="s">
        <v>170</v>
      </c>
      <c r="B141" s="15"/>
      <c r="C141" s="15"/>
      <c r="D141" s="16"/>
      <c r="E141" s="17"/>
      <c r="F141" s="17"/>
      <c r="G141" s="18">
        <f>IF(AND(ISNUMBER(E141),ISNUMBER(F141)),E141*F141,"")</f>
        <v>0</v>
      </c>
      <c r="H141" s="19">
        <f>IF(G141="","",IF(G141&gt;=15,"Kritiek",IF(G141&gt;=8,"Hoog",IF(G141&gt;=4,"Middel","Laag"))))</f>
        <v>0</v>
      </c>
      <c r="I141" s="16"/>
      <c r="J141" s="17"/>
      <c r="K141" s="17"/>
      <c r="L141" s="18">
        <f>IF(AND(ISNUMBER(J141),ISNUMBER(K141)),J141*K141,"")</f>
        <v>0</v>
      </c>
      <c r="M141" s="19">
        <f>IF(L141="","",IF(L141&gt;=15,"Kritiek",IF(L141&gt;=8,"Hoog",IF(L141&gt;=4,"Middel","Laag"))))</f>
        <v>0</v>
      </c>
      <c r="N141" s="15"/>
      <c r="O141" s="20"/>
      <c r="P141" s="20"/>
      <c r="Q141" s="20"/>
    </row>
    <row r="142" spans="1:17" ht="18" customHeight="1">
      <c r="A142" s="21" t="s">
        <v>171</v>
      </c>
      <c r="B142" s="22"/>
      <c r="C142" s="22"/>
      <c r="D142" s="23"/>
      <c r="E142" s="24"/>
      <c r="F142" s="24"/>
      <c r="G142" s="25">
        <f>IF(AND(ISNUMBER(E142),ISNUMBER(F142)),E142*F142,"")</f>
        <v>0</v>
      </c>
      <c r="H142" s="26">
        <f>IF(G142="","",IF(G142&gt;=15,"Kritiek",IF(G142&gt;=8,"Hoog",IF(G142&gt;=4,"Middel","Laag"))))</f>
        <v>0</v>
      </c>
      <c r="I142" s="23"/>
      <c r="J142" s="24"/>
      <c r="K142" s="24"/>
      <c r="L142" s="25">
        <f>IF(AND(ISNUMBER(J142),ISNUMBER(K142)),J142*K142,"")</f>
        <v>0</v>
      </c>
      <c r="M142" s="26">
        <f>IF(L142="","",IF(L142&gt;=15,"Kritiek",IF(L142&gt;=8,"Hoog",IF(L142&gt;=4,"Middel","Laag"))))</f>
        <v>0</v>
      </c>
      <c r="N142" s="22"/>
      <c r="O142" s="27"/>
      <c r="P142" s="27"/>
      <c r="Q142" s="27"/>
    </row>
    <row r="143" spans="1:17" ht="18" customHeight="1">
      <c r="A143" s="14" t="s">
        <v>172</v>
      </c>
      <c r="B143" s="15"/>
      <c r="C143" s="15"/>
      <c r="D143" s="16"/>
      <c r="E143" s="17"/>
      <c r="F143" s="17"/>
      <c r="G143" s="18">
        <f>IF(AND(ISNUMBER(E143),ISNUMBER(F143)),E143*F143,"")</f>
        <v>0</v>
      </c>
      <c r="H143" s="19">
        <f>IF(G143="","",IF(G143&gt;=15,"Kritiek",IF(G143&gt;=8,"Hoog",IF(G143&gt;=4,"Middel","Laag"))))</f>
        <v>0</v>
      </c>
      <c r="I143" s="16"/>
      <c r="J143" s="17"/>
      <c r="K143" s="17"/>
      <c r="L143" s="18">
        <f>IF(AND(ISNUMBER(J143),ISNUMBER(K143)),J143*K143,"")</f>
        <v>0</v>
      </c>
      <c r="M143" s="19">
        <f>IF(L143="","",IF(L143&gt;=15,"Kritiek",IF(L143&gt;=8,"Hoog",IF(L143&gt;=4,"Middel","Laag"))))</f>
        <v>0</v>
      </c>
      <c r="N143" s="15"/>
      <c r="O143" s="20"/>
      <c r="P143" s="20"/>
      <c r="Q143" s="20"/>
    </row>
    <row r="144" spans="1:17" ht="18" customHeight="1">
      <c r="A144" s="21" t="s">
        <v>173</v>
      </c>
      <c r="B144" s="22"/>
      <c r="C144" s="22"/>
      <c r="D144" s="23"/>
      <c r="E144" s="24"/>
      <c r="F144" s="24"/>
      <c r="G144" s="25">
        <f>IF(AND(ISNUMBER(E144),ISNUMBER(F144)),E144*F144,"")</f>
        <v>0</v>
      </c>
      <c r="H144" s="26">
        <f>IF(G144="","",IF(G144&gt;=15,"Kritiek",IF(G144&gt;=8,"Hoog",IF(G144&gt;=4,"Middel","Laag"))))</f>
        <v>0</v>
      </c>
      <c r="I144" s="23"/>
      <c r="J144" s="24"/>
      <c r="K144" s="24"/>
      <c r="L144" s="25">
        <f>IF(AND(ISNUMBER(J144),ISNUMBER(K144)),J144*K144,"")</f>
        <v>0</v>
      </c>
      <c r="M144" s="26">
        <f>IF(L144="","",IF(L144&gt;=15,"Kritiek",IF(L144&gt;=8,"Hoog",IF(L144&gt;=4,"Middel","Laag"))))</f>
        <v>0</v>
      </c>
      <c r="N144" s="22"/>
      <c r="O144" s="27"/>
      <c r="P144" s="27"/>
      <c r="Q144" s="27"/>
    </row>
    <row r="145" spans="1:17" ht="18" customHeight="1">
      <c r="A145" s="14" t="s">
        <v>174</v>
      </c>
      <c r="B145" s="15"/>
      <c r="C145" s="15"/>
      <c r="D145" s="16"/>
      <c r="E145" s="17"/>
      <c r="F145" s="17"/>
      <c r="G145" s="18">
        <f>IF(AND(ISNUMBER(E145),ISNUMBER(F145)),E145*F145,"")</f>
        <v>0</v>
      </c>
      <c r="H145" s="19">
        <f>IF(G145="","",IF(G145&gt;=15,"Kritiek",IF(G145&gt;=8,"Hoog",IF(G145&gt;=4,"Middel","Laag"))))</f>
        <v>0</v>
      </c>
      <c r="I145" s="16"/>
      <c r="J145" s="17"/>
      <c r="K145" s="17"/>
      <c r="L145" s="18">
        <f>IF(AND(ISNUMBER(J145),ISNUMBER(K145)),J145*K145,"")</f>
        <v>0</v>
      </c>
      <c r="M145" s="19">
        <f>IF(L145="","",IF(L145&gt;=15,"Kritiek",IF(L145&gt;=8,"Hoog",IF(L145&gt;=4,"Middel","Laag"))))</f>
        <v>0</v>
      </c>
      <c r="N145" s="15"/>
      <c r="O145" s="20"/>
      <c r="P145" s="20"/>
      <c r="Q145" s="20"/>
    </row>
    <row r="146" spans="1:17" ht="18" customHeight="1">
      <c r="A146" s="21" t="s">
        <v>175</v>
      </c>
      <c r="B146" s="22"/>
      <c r="C146" s="22"/>
      <c r="D146" s="23"/>
      <c r="E146" s="24"/>
      <c r="F146" s="24"/>
      <c r="G146" s="25">
        <f>IF(AND(ISNUMBER(E146),ISNUMBER(F146)),E146*F146,"")</f>
        <v>0</v>
      </c>
      <c r="H146" s="26">
        <f>IF(G146="","",IF(G146&gt;=15,"Kritiek",IF(G146&gt;=8,"Hoog",IF(G146&gt;=4,"Middel","Laag"))))</f>
        <v>0</v>
      </c>
      <c r="I146" s="23"/>
      <c r="J146" s="24"/>
      <c r="K146" s="24"/>
      <c r="L146" s="25">
        <f>IF(AND(ISNUMBER(J146),ISNUMBER(K146)),J146*K146,"")</f>
        <v>0</v>
      </c>
      <c r="M146" s="26">
        <f>IF(L146="","",IF(L146&gt;=15,"Kritiek",IF(L146&gt;=8,"Hoog",IF(L146&gt;=4,"Middel","Laag"))))</f>
        <v>0</v>
      </c>
      <c r="N146" s="22"/>
      <c r="O146" s="27"/>
      <c r="P146" s="27"/>
      <c r="Q146" s="27"/>
    </row>
    <row r="147" spans="1:17" ht="18" customHeight="1">
      <c r="A147" s="14" t="s">
        <v>176</v>
      </c>
      <c r="B147" s="15"/>
      <c r="C147" s="15"/>
      <c r="D147" s="16"/>
      <c r="E147" s="17"/>
      <c r="F147" s="17"/>
      <c r="G147" s="18">
        <f>IF(AND(ISNUMBER(E147),ISNUMBER(F147)),E147*F147,"")</f>
        <v>0</v>
      </c>
      <c r="H147" s="19">
        <f>IF(G147="","",IF(G147&gt;=15,"Kritiek",IF(G147&gt;=8,"Hoog",IF(G147&gt;=4,"Middel","Laag"))))</f>
        <v>0</v>
      </c>
      <c r="I147" s="16"/>
      <c r="J147" s="17"/>
      <c r="K147" s="17"/>
      <c r="L147" s="18">
        <f>IF(AND(ISNUMBER(J147),ISNUMBER(K147)),J147*K147,"")</f>
        <v>0</v>
      </c>
      <c r="M147" s="19">
        <f>IF(L147="","",IF(L147&gt;=15,"Kritiek",IF(L147&gt;=8,"Hoog",IF(L147&gt;=4,"Middel","Laag"))))</f>
        <v>0</v>
      </c>
      <c r="N147" s="15"/>
      <c r="O147" s="20"/>
      <c r="P147" s="20"/>
      <c r="Q147" s="20"/>
    </row>
    <row r="148" spans="1:17" ht="18" customHeight="1">
      <c r="A148" s="21" t="s">
        <v>177</v>
      </c>
      <c r="B148" s="22"/>
      <c r="C148" s="22"/>
      <c r="D148" s="23"/>
      <c r="E148" s="24"/>
      <c r="F148" s="24"/>
      <c r="G148" s="25">
        <f>IF(AND(ISNUMBER(E148),ISNUMBER(F148)),E148*F148,"")</f>
        <v>0</v>
      </c>
      <c r="H148" s="26">
        <f>IF(G148="","",IF(G148&gt;=15,"Kritiek",IF(G148&gt;=8,"Hoog",IF(G148&gt;=4,"Middel","Laag"))))</f>
        <v>0</v>
      </c>
      <c r="I148" s="23"/>
      <c r="J148" s="24"/>
      <c r="K148" s="24"/>
      <c r="L148" s="25">
        <f>IF(AND(ISNUMBER(J148),ISNUMBER(K148)),J148*K148,"")</f>
        <v>0</v>
      </c>
      <c r="M148" s="26">
        <f>IF(L148="","",IF(L148&gt;=15,"Kritiek",IF(L148&gt;=8,"Hoog",IF(L148&gt;=4,"Middel","Laag"))))</f>
        <v>0</v>
      </c>
      <c r="N148" s="22"/>
      <c r="O148" s="27"/>
      <c r="P148" s="27"/>
      <c r="Q148" s="27"/>
    </row>
    <row r="149" spans="1:17" ht="18" customHeight="1">
      <c r="A149" s="14" t="s">
        <v>178</v>
      </c>
      <c r="B149" s="15"/>
      <c r="C149" s="15"/>
      <c r="D149" s="16"/>
      <c r="E149" s="17"/>
      <c r="F149" s="17"/>
      <c r="G149" s="18">
        <f>IF(AND(ISNUMBER(E149),ISNUMBER(F149)),E149*F149,"")</f>
        <v>0</v>
      </c>
      <c r="H149" s="19">
        <f>IF(G149="","",IF(G149&gt;=15,"Kritiek",IF(G149&gt;=8,"Hoog",IF(G149&gt;=4,"Middel","Laag"))))</f>
        <v>0</v>
      </c>
      <c r="I149" s="16"/>
      <c r="J149" s="17"/>
      <c r="K149" s="17"/>
      <c r="L149" s="18">
        <f>IF(AND(ISNUMBER(J149),ISNUMBER(K149)),J149*K149,"")</f>
        <v>0</v>
      </c>
      <c r="M149" s="19">
        <f>IF(L149="","",IF(L149&gt;=15,"Kritiek",IF(L149&gt;=8,"Hoog",IF(L149&gt;=4,"Middel","Laag"))))</f>
        <v>0</v>
      </c>
      <c r="N149" s="15"/>
      <c r="O149" s="20"/>
      <c r="P149" s="20"/>
      <c r="Q149" s="20"/>
    </row>
    <row r="150" spans="1:17" ht="18" customHeight="1">
      <c r="A150" s="21" t="s">
        <v>179</v>
      </c>
      <c r="B150" s="22"/>
      <c r="C150" s="22"/>
      <c r="D150" s="23"/>
      <c r="E150" s="24"/>
      <c r="F150" s="24"/>
      <c r="G150" s="25">
        <f>IF(AND(ISNUMBER(E150),ISNUMBER(F150)),E150*F150,"")</f>
        <v>0</v>
      </c>
      <c r="H150" s="26">
        <f>IF(G150="","",IF(G150&gt;=15,"Kritiek",IF(G150&gt;=8,"Hoog",IF(G150&gt;=4,"Middel","Laag"))))</f>
        <v>0</v>
      </c>
      <c r="I150" s="23"/>
      <c r="J150" s="24"/>
      <c r="K150" s="24"/>
      <c r="L150" s="25">
        <f>IF(AND(ISNUMBER(J150),ISNUMBER(K150)),J150*K150,"")</f>
        <v>0</v>
      </c>
      <c r="M150" s="26">
        <f>IF(L150="","",IF(L150&gt;=15,"Kritiek",IF(L150&gt;=8,"Hoog",IF(L150&gt;=4,"Middel","Laag"))))</f>
        <v>0</v>
      </c>
      <c r="N150" s="22"/>
      <c r="O150" s="27"/>
      <c r="P150" s="27"/>
      <c r="Q150" s="27"/>
    </row>
    <row r="151" spans="1:17" ht="18" customHeight="1">
      <c r="A151" s="14" t="s">
        <v>180</v>
      </c>
      <c r="B151" s="15"/>
      <c r="C151" s="15"/>
      <c r="D151" s="16"/>
      <c r="E151" s="17"/>
      <c r="F151" s="17"/>
      <c r="G151" s="18">
        <f>IF(AND(ISNUMBER(E151),ISNUMBER(F151)),E151*F151,"")</f>
        <v>0</v>
      </c>
      <c r="H151" s="19">
        <f>IF(G151="","",IF(G151&gt;=15,"Kritiek",IF(G151&gt;=8,"Hoog",IF(G151&gt;=4,"Middel","Laag"))))</f>
        <v>0</v>
      </c>
      <c r="I151" s="16"/>
      <c r="J151" s="17"/>
      <c r="K151" s="17"/>
      <c r="L151" s="18">
        <f>IF(AND(ISNUMBER(J151),ISNUMBER(K151)),J151*K151,"")</f>
        <v>0</v>
      </c>
      <c r="M151" s="19">
        <f>IF(L151="","",IF(L151&gt;=15,"Kritiek",IF(L151&gt;=8,"Hoog",IF(L151&gt;=4,"Middel","Laag"))))</f>
        <v>0</v>
      </c>
      <c r="N151" s="15"/>
      <c r="O151" s="20"/>
      <c r="P151" s="20"/>
      <c r="Q151" s="20"/>
    </row>
    <row r="152" spans="1:17" ht="18" customHeight="1">
      <c r="A152" s="21" t="s">
        <v>181</v>
      </c>
      <c r="B152" s="22"/>
      <c r="C152" s="22"/>
      <c r="D152" s="23"/>
      <c r="E152" s="24"/>
      <c r="F152" s="24"/>
      <c r="G152" s="25">
        <f>IF(AND(ISNUMBER(E152),ISNUMBER(F152)),E152*F152,"")</f>
        <v>0</v>
      </c>
      <c r="H152" s="26">
        <f>IF(G152="","",IF(G152&gt;=15,"Kritiek",IF(G152&gt;=8,"Hoog",IF(G152&gt;=4,"Middel","Laag"))))</f>
        <v>0</v>
      </c>
      <c r="I152" s="23"/>
      <c r="J152" s="24"/>
      <c r="K152" s="24"/>
      <c r="L152" s="25">
        <f>IF(AND(ISNUMBER(J152),ISNUMBER(K152)),J152*K152,"")</f>
        <v>0</v>
      </c>
      <c r="M152" s="26">
        <f>IF(L152="","",IF(L152&gt;=15,"Kritiek",IF(L152&gt;=8,"Hoog",IF(L152&gt;=4,"Middel","Laag"))))</f>
        <v>0</v>
      </c>
      <c r="N152" s="22"/>
      <c r="O152" s="27"/>
      <c r="P152" s="27"/>
      <c r="Q152" s="27"/>
    </row>
    <row r="153" spans="1:17" ht="18" customHeight="1">
      <c r="A153" s="14" t="s">
        <v>182</v>
      </c>
      <c r="B153" s="15"/>
      <c r="C153" s="15"/>
      <c r="D153" s="16"/>
      <c r="E153" s="17"/>
      <c r="F153" s="17"/>
      <c r="G153" s="18">
        <f>IF(AND(ISNUMBER(E153),ISNUMBER(F153)),E153*F153,"")</f>
        <v>0</v>
      </c>
      <c r="H153" s="19">
        <f>IF(G153="","",IF(G153&gt;=15,"Kritiek",IF(G153&gt;=8,"Hoog",IF(G153&gt;=4,"Middel","Laag"))))</f>
        <v>0</v>
      </c>
      <c r="I153" s="16"/>
      <c r="J153" s="17"/>
      <c r="K153" s="17"/>
      <c r="L153" s="18">
        <f>IF(AND(ISNUMBER(J153),ISNUMBER(K153)),J153*K153,"")</f>
        <v>0</v>
      </c>
      <c r="M153" s="19">
        <f>IF(L153="","",IF(L153&gt;=15,"Kritiek",IF(L153&gt;=8,"Hoog",IF(L153&gt;=4,"Middel","Laag"))))</f>
        <v>0</v>
      </c>
      <c r="N153" s="15"/>
      <c r="O153" s="20"/>
      <c r="P153" s="20"/>
      <c r="Q153" s="20"/>
    </row>
    <row r="154" spans="1:17" ht="18" customHeight="1">
      <c r="A154" s="21" t="s">
        <v>183</v>
      </c>
      <c r="B154" s="22"/>
      <c r="C154" s="22"/>
      <c r="D154" s="23"/>
      <c r="E154" s="24"/>
      <c r="F154" s="24"/>
      <c r="G154" s="25">
        <f>IF(AND(ISNUMBER(E154),ISNUMBER(F154)),E154*F154,"")</f>
        <v>0</v>
      </c>
      <c r="H154" s="26">
        <f>IF(G154="","",IF(G154&gt;=15,"Kritiek",IF(G154&gt;=8,"Hoog",IF(G154&gt;=4,"Middel","Laag"))))</f>
        <v>0</v>
      </c>
      <c r="I154" s="23"/>
      <c r="J154" s="24"/>
      <c r="K154" s="24"/>
      <c r="L154" s="25">
        <f>IF(AND(ISNUMBER(J154),ISNUMBER(K154)),J154*K154,"")</f>
        <v>0</v>
      </c>
      <c r="M154" s="26">
        <f>IF(L154="","",IF(L154&gt;=15,"Kritiek",IF(L154&gt;=8,"Hoog",IF(L154&gt;=4,"Middel","Laag"))))</f>
        <v>0</v>
      </c>
      <c r="N154" s="22"/>
      <c r="O154" s="27"/>
      <c r="P154" s="27"/>
      <c r="Q154" s="27"/>
    </row>
    <row r="155" spans="1:17" ht="18" customHeight="1">
      <c r="A155" s="14" t="s">
        <v>184</v>
      </c>
      <c r="B155" s="15"/>
      <c r="C155" s="15"/>
      <c r="D155" s="16"/>
      <c r="E155" s="17"/>
      <c r="F155" s="17"/>
      <c r="G155" s="18">
        <f>IF(AND(ISNUMBER(E155),ISNUMBER(F155)),E155*F155,"")</f>
        <v>0</v>
      </c>
      <c r="H155" s="19">
        <f>IF(G155="","",IF(G155&gt;=15,"Kritiek",IF(G155&gt;=8,"Hoog",IF(G155&gt;=4,"Middel","Laag"))))</f>
        <v>0</v>
      </c>
      <c r="I155" s="16"/>
      <c r="J155" s="17"/>
      <c r="K155" s="17"/>
      <c r="L155" s="18">
        <f>IF(AND(ISNUMBER(J155),ISNUMBER(K155)),J155*K155,"")</f>
        <v>0</v>
      </c>
      <c r="M155" s="19">
        <f>IF(L155="","",IF(L155&gt;=15,"Kritiek",IF(L155&gt;=8,"Hoog",IF(L155&gt;=4,"Middel","Laag"))))</f>
        <v>0</v>
      </c>
      <c r="N155" s="15"/>
      <c r="O155" s="20"/>
      <c r="P155" s="20"/>
      <c r="Q155" s="20"/>
    </row>
    <row r="156" spans="1:17" ht="18" customHeight="1">
      <c r="A156" s="21" t="s">
        <v>185</v>
      </c>
      <c r="B156" s="22"/>
      <c r="C156" s="22"/>
      <c r="D156" s="23"/>
      <c r="E156" s="24"/>
      <c r="F156" s="24"/>
      <c r="G156" s="25">
        <f>IF(AND(ISNUMBER(E156),ISNUMBER(F156)),E156*F156,"")</f>
        <v>0</v>
      </c>
      <c r="H156" s="26">
        <f>IF(G156="","",IF(G156&gt;=15,"Kritiek",IF(G156&gt;=8,"Hoog",IF(G156&gt;=4,"Middel","Laag"))))</f>
        <v>0</v>
      </c>
      <c r="I156" s="23"/>
      <c r="J156" s="24"/>
      <c r="K156" s="24"/>
      <c r="L156" s="25">
        <f>IF(AND(ISNUMBER(J156),ISNUMBER(K156)),J156*K156,"")</f>
        <v>0</v>
      </c>
      <c r="M156" s="26">
        <f>IF(L156="","",IF(L156&gt;=15,"Kritiek",IF(L156&gt;=8,"Hoog",IF(L156&gt;=4,"Middel","Laag"))))</f>
        <v>0</v>
      </c>
      <c r="N156" s="22"/>
      <c r="O156" s="27"/>
      <c r="P156" s="27"/>
      <c r="Q156" s="27"/>
    </row>
    <row r="157" spans="1:17" ht="18" customHeight="1">
      <c r="A157" s="14" t="s">
        <v>186</v>
      </c>
      <c r="B157" s="15"/>
      <c r="C157" s="15"/>
      <c r="D157" s="16"/>
      <c r="E157" s="17"/>
      <c r="F157" s="17"/>
      <c r="G157" s="18">
        <f>IF(AND(ISNUMBER(E157),ISNUMBER(F157)),E157*F157,"")</f>
        <v>0</v>
      </c>
      <c r="H157" s="19">
        <f>IF(G157="","",IF(G157&gt;=15,"Kritiek",IF(G157&gt;=8,"Hoog",IF(G157&gt;=4,"Middel","Laag"))))</f>
        <v>0</v>
      </c>
      <c r="I157" s="16"/>
      <c r="J157" s="17"/>
      <c r="K157" s="17"/>
      <c r="L157" s="18">
        <f>IF(AND(ISNUMBER(J157),ISNUMBER(K157)),J157*K157,"")</f>
        <v>0</v>
      </c>
      <c r="M157" s="19">
        <f>IF(L157="","",IF(L157&gt;=15,"Kritiek",IF(L157&gt;=8,"Hoog",IF(L157&gt;=4,"Middel","Laag"))))</f>
        <v>0</v>
      </c>
      <c r="N157" s="15"/>
      <c r="O157" s="20"/>
      <c r="P157" s="20"/>
      <c r="Q157" s="20"/>
    </row>
    <row r="158" spans="1:17" ht="18" customHeight="1">
      <c r="A158" s="21" t="s">
        <v>187</v>
      </c>
      <c r="B158" s="22"/>
      <c r="C158" s="22"/>
      <c r="D158" s="23"/>
      <c r="E158" s="24"/>
      <c r="F158" s="24"/>
      <c r="G158" s="25">
        <f>IF(AND(ISNUMBER(E158),ISNUMBER(F158)),E158*F158,"")</f>
        <v>0</v>
      </c>
      <c r="H158" s="26">
        <f>IF(G158="","",IF(G158&gt;=15,"Kritiek",IF(G158&gt;=8,"Hoog",IF(G158&gt;=4,"Middel","Laag"))))</f>
        <v>0</v>
      </c>
      <c r="I158" s="23"/>
      <c r="J158" s="24"/>
      <c r="K158" s="24"/>
      <c r="L158" s="25">
        <f>IF(AND(ISNUMBER(J158),ISNUMBER(K158)),J158*K158,"")</f>
        <v>0</v>
      </c>
      <c r="M158" s="26">
        <f>IF(L158="","",IF(L158&gt;=15,"Kritiek",IF(L158&gt;=8,"Hoog",IF(L158&gt;=4,"Middel","Laag"))))</f>
        <v>0</v>
      </c>
      <c r="N158" s="22"/>
      <c r="O158" s="27"/>
      <c r="P158" s="27"/>
      <c r="Q158" s="27"/>
    </row>
    <row r="159" spans="1:17" ht="18" customHeight="1">
      <c r="A159" s="14" t="s">
        <v>188</v>
      </c>
      <c r="B159" s="15"/>
      <c r="C159" s="15"/>
      <c r="D159" s="16"/>
      <c r="E159" s="17"/>
      <c r="F159" s="17"/>
      <c r="G159" s="18">
        <f>IF(AND(ISNUMBER(E159),ISNUMBER(F159)),E159*F159,"")</f>
        <v>0</v>
      </c>
      <c r="H159" s="19">
        <f>IF(G159="","",IF(G159&gt;=15,"Kritiek",IF(G159&gt;=8,"Hoog",IF(G159&gt;=4,"Middel","Laag"))))</f>
        <v>0</v>
      </c>
      <c r="I159" s="16"/>
      <c r="J159" s="17"/>
      <c r="K159" s="17"/>
      <c r="L159" s="18">
        <f>IF(AND(ISNUMBER(J159),ISNUMBER(K159)),J159*K159,"")</f>
        <v>0</v>
      </c>
      <c r="M159" s="19">
        <f>IF(L159="","",IF(L159&gt;=15,"Kritiek",IF(L159&gt;=8,"Hoog",IF(L159&gt;=4,"Middel","Laag"))))</f>
        <v>0</v>
      </c>
      <c r="N159" s="15"/>
      <c r="O159" s="20"/>
      <c r="P159" s="20"/>
      <c r="Q159" s="20"/>
    </row>
    <row r="160" spans="1:17" ht="18" customHeight="1">
      <c r="A160" s="21" t="s">
        <v>189</v>
      </c>
      <c r="B160" s="22"/>
      <c r="C160" s="22"/>
      <c r="D160" s="23"/>
      <c r="E160" s="24"/>
      <c r="F160" s="24"/>
      <c r="G160" s="25">
        <f>IF(AND(ISNUMBER(E160),ISNUMBER(F160)),E160*F160,"")</f>
        <v>0</v>
      </c>
      <c r="H160" s="26">
        <f>IF(G160="","",IF(G160&gt;=15,"Kritiek",IF(G160&gt;=8,"Hoog",IF(G160&gt;=4,"Middel","Laag"))))</f>
        <v>0</v>
      </c>
      <c r="I160" s="23"/>
      <c r="J160" s="24"/>
      <c r="K160" s="24"/>
      <c r="L160" s="25">
        <f>IF(AND(ISNUMBER(J160),ISNUMBER(K160)),J160*K160,"")</f>
        <v>0</v>
      </c>
      <c r="M160" s="26">
        <f>IF(L160="","",IF(L160&gt;=15,"Kritiek",IF(L160&gt;=8,"Hoog",IF(L160&gt;=4,"Middel","Laag"))))</f>
        <v>0</v>
      </c>
      <c r="N160" s="22"/>
      <c r="O160" s="27"/>
      <c r="P160" s="27"/>
      <c r="Q160" s="27"/>
    </row>
    <row r="161" spans="1:17" ht="18" customHeight="1">
      <c r="A161" s="14" t="s">
        <v>190</v>
      </c>
      <c r="B161" s="15"/>
      <c r="C161" s="15"/>
      <c r="D161" s="16"/>
      <c r="E161" s="17"/>
      <c r="F161" s="17"/>
      <c r="G161" s="18">
        <f>IF(AND(ISNUMBER(E161),ISNUMBER(F161)),E161*F161,"")</f>
        <v>0</v>
      </c>
      <c r="H161" s="19">
        <f>IF(G161="","",IF(G161&gt;=15,"Kritiek",IF(G161&gt;=8,"Hoog",IF(G161&gt;=4,"Middel","Laag"))))</f>
        <v>0</v>
      </c>
      <c r="I161" s="16"/>
      <c r="J161" s="17"/>
      <c r="K161" s="17"/>
      <c r="L161" s="18">
        <f>IF(AND(ISNUMBER(J161),ISNUMBER(K161)),J161*K161,"")</f>
        <v>0</v>
      </c>
      <c r="M161" s="19">
        <f>IF(L161="","",IF(L161&gt;=15,"Kritiek",IF(L161&gt;=8,"Hoog",IF(L161&gt;=4,"Middel","Laag"))))</f>
        <v>0</v>
      </c>
      <c r="N161" s="15"/>
      <c r="O161" s="20"/>
      <c r="P161" s="20"/>
      <c r="Q161" s="20"/>
    </row>
    <row r="162" spans="1:17" ht="18" customHeight="1">
      <c r="A162" s="21" t="s">
        <v>191</v>
      </c>
      <c r="B162" s="22"/>
      <c r="C162" s="22"/>
      <c r="D162" s="23"/>
      <c r="E162" s="24"/>
      <c r="F162" s="24"/>
      <c r="G162" s="25">
        <f>IF(AND(ISNUMBER(E162),ISNUMBER(F162)),E162*F162,"")</f>
        <v>0</v>
      </c>
      <c r="H162" s="26">
        <f>IF(G162="","",IF(G162&gt;=15,"Kritiek",IF(G162&gt;=8,"Hoog",IF(G162&gt;=4,"Middel","Laag"))))</f>
        <v>0</v>
      </c>
      <c r="I162" s="23"/>
      <c r="J162" s="24"/>
      <c r="K162" s="24"/>
      <c r="L162" s="25">
        <f>IF(AND(ISNUMBER(J162),ISNUMBER(K162)),J162*K162,"")</f>
        <v>0</v>
      </c>
      <c r="M162" s="26">
        <f>IF(L162="","",IF(L162&gt;=15,"Kritiek",IF(L162&gt;=8,"Hoog",IF(L162&gt;=4,"Middel","Laag"))))</f>
        <v>0</v>
      </c>
      <c r="N162" s="22"/>
      <c r="O162" s="27"/>
      <c r="P162" s="27"/>
      <c r="Q162" s="27"/>
    </row>
    <row r="163" spans="1:17" ht="18" customHeight="1">
      <c r="A163" s="14" t="s">
        <v>192</v>
      </c>
      <c r="B163" s="15"/>
      <c r="C163" s="15"/>
      <c r="D163" s="16"/>
      <c r="E163" s="17"/>
      <c r="F163" s="17"/>
      <c r="G163" s="18">
        <f>IF(AND(ISNUMBER(E163),ISNUMBER(F163)),E163*F163,"")</f>
        <v>0</v>
      </c>
      <c r="H163" s="19">
        <f>IF(G163="","",IF(G163&gt;=15,"Kritiek",IF(G163&gt;=8,"Hoog",IF(G163&gt;=4,"Middel","Laag"))))</f>
        <v>0</v>
      </c>
      <c r="I163" s="16"/>
      <c r="J163" s="17"/>
      <c r="K163" s="17"/>
      <c r="L163" s="18">
        <f>IF(AND(ISNUMBER(J163),ISNUMBER(K163)),J163*K163,"")</f>
        <v>0</v>
      </c>
      <c r="M163" s="19">
        <f>IF(L163="","",IF(L163&gt;=15,"Kritiek",IF(L163&gt;=8,"Hoog",IF(L163&gt;=4,"Middel","Laag"))))</f>
        <v>0</v>
      </c>
      <c r="N163" s="15"/>
      <c r="O163" s="20"/>
      <c r="P163" s="20"/>
      <c r="Q163" s="20"/>
    </row>
    <row r="164" spans="1:17" ht="18" customHeight="1">
      <c r="A164" s="21" t="s">
        <v>193</v>
      </c>
      <c r="B164" s="22"/>
      <c r="C164" s="22"/>
      <c r="D164" s="23"/>
      <c r="E164" s="24"/>
      <c r="F164" s="24"/>
      <c r="G164" s="25">
        <f>IF(AND(ISNUMBER(E164),ISNUMBER(F164)),E164*F164,"")</f>
        <v>0</v>
      </c>
      <c r="H164" s="26">
        <f>IF(G164="","",IF(G164&gt;=15,"Kritiek",IF(G164&gt;=8,"Hoog",IF(G164&gt;=4,"Middel","Laag"))))</f>
        <v>0</v>
      </c>
      <c r="I164" s="23"/>
      <c r="J164" s="24"/>
      <c r="K164" s="24"/>
      <c r="L164" s="25">
        <f>IF(AND(ISNUMBER(J164),ISNUMBER(K164)),J164*K164,"")</f>
        <v>0</v>
      </c>
      <c r="M164" s="26">
        <f>IF(L164="","",IF(L164&gt;=15,"Kritiek",IF(L164&gt;=8,"Hoog",IF(L164&gt;=4,"Middel","Laag"))))</f>
        <v>0</v>
      </c>
      <c r="N164" s="22"/>
      <c r="O164" s="27"/>
      <c r="P164" s="27"/>
      <c r="Q164" s="27"/>
    </row>
    <row r="165" spans="1:17" ht="18" customHeight="1">
      <c r="A165" s="14" t="s">
        <v>194</v>
      </c>
      <c r="B165" s="15"/>
      <c r="C165" s="15"/>
      <c r="D165" s="16"/>
      <c r="E165" s="17"/>
      <c r="F165" s="17"/>
      <c r="G165" s="18">
        <f>IF(AND(ISNUMBER(E165),ISNUMBER(F165)),E165*F165,"")</f>
        <v>0</v>
      </c>
      <c r="H165" s="19">
        <f>IF(G165="","",IF(G165&gt;=15,"Kritiek",IF(G165&gt;=8,"Hoog",IF(G165&gt;=4,"Middel","Laag"))))</f>
        <v>0</v>
      </c>
      <c r="I165" s="16"/>
      <c r="J165" s="17"/>
      <c r="K165" s="17"/>
      <c r="L165" s="18">
        <f>IF(AND(ISNUMBER(J165),ISNUMBER(K165)),J165*K165,"")</f>
        <v>0</v>
      </c>
      <c r="M165" s="19">
        <f>IF(L165="","",IF(L165&gt;=15,"Kritiek",IF(L165&gt;=8,"Hoog",IF(L165&gt;=4,"Middel","Laag"))))</f>
        <v>0</v>
      </c>
      <c r="N165" s="15"/>
      <c r="O165" s="20"/>
      <c r="P165" s="20"/>
      <c r="Q165" s="20"/>
    </row>
    <row r="166" spans="1:17" ht="18" customHeight="1">
      <c r="A166" s="21" t="s">
        <v>195</v>
      </c>
      <c r="B166" s="22"/>
      <c r="C166" s="22"/>
      <c r="D166" s="23"/>
      <c r="E166" s="24"/>
      <c r="F166" s="24"/>
      <c r="G166" s="25">
        <f>IF(AND(ISNUMBER(E166),ISNUMBER(F166)),E166*F166,"")</f>
        <v>0</v>
      </c>
      <c r="H166" s="26">
        <f>IF(G166="","",IF(G166&gt;=15,"Kritiek",IF(G166&gt;=8,"Hoog",IF(G166&gt;=4,"Middel","Laag"))))</f>
        <v>0</v>
      </c>
      <c r="I166" s="23"/>
      <c r="J166" s="24"/>
      <c r="K166" s="24"/>
      <c r="L166" s="25">
        <f>IF(AND(ISNUMBER(J166),ISNUMBER(K166)),J166*K166,"")</f>
        <v>0</v>
      </c>
      <c r="M166" s="26">
        <f>IF(L166="","",IF(L166&gt;=15,"Kritiek",IF(L166&gt;=8,"Hoog",IF(L166&gt;=4,"Middel","Laag"))))</f>
        <v>0</v>
      </c>
      <c r="N166" s="22"/>
      <c r="O166" s="27"/>
      <c r="P166" s="27"/>
      <c r="Q166" s="27"/>
    </row>
    <row r="167" spans="1:17" ht="18" customHeight="1">
      <c r="A167" s="14" t="s">
        <v>196</v>
      </c>
      <c r="B167" s="15"/>
      <c r="C167" s="15"/>
      <c r="D167" s="16"/>
      <c r="E167" s="17"/>
      <c r="F167" s="17"/>
      <c r="G167" s="18">
        <f>IF(AND(ISNUMBER(E167),ISNUMBER(F167)),E167*F167,"")</f>
        <v>0</v>
      </c>
      <c r="H167" s="19">
        <f>IF(G167="","",IF(G167&gt;=15,"Kritiek",IF(G167&gt;=8,"Hoog",IF(G167&gt;=4,"Middel","Laag"))))</f>
        <v>0</v>
      </c>
      <c r="I167" s="16"/>
      <c r="J167" s="17"/>
      <c r="K167" s="17"/>
      <c r="L167" s="18">
        <f>IF(AND(ISNUMBER(J167),ISNUMBER(K167)),J167*K167,"")</f>
        <v>0</v>
      </c>
      <c r="M167" s="19">
        <f>IF(L167="","",IF(L167&gt;=15,"Kritiek",IF(L167&gt;=8,"Hoog",IF(L167&gt;=4,"Middel","Laag"))))</f>
        <v>0</v>
      </c>
      <c r="N167" s="15"/>
      <c r="O167" s="20"/>
      <c r="P167" s="20"/>
      <c r="Q167" s="20"/>
    </row>
    <row r="168" spans="1:17" ht="18" customHeight="1">
      <c r="A168" s="21" t="s">
        <v>197</v>
      </c>
      <c r="B168" s="22"/>
      <c r="C168" s="22"/>
      <c r="D168" s="23"/>
      <c r="E168" s="24"/>
      <c r="F168" s="24"/>
      <c r="G168" s="25">
        <f>IF(AND(ISNUMBER(E168),ISNUMBER(F168)),E168*F168,"")</f>
        <v>0</v>
      </c>
      <c r="H168" s="26">
        <f>IF(G168="","",IF(G168&gt;=15,"Kritiek",IF(G168&gt;=8,"Hoog",IF(G168&gt;=4,"Middel","Laag"))))</f>
        <v>0</v>
      </c>
      <c r="I168" s="23"/>
      <c r="J168" s="24"/>
      <c r="K168" s="24"/>
      <c r="L168" s="25">
        <f>IF(AND(ISNUMBER(J168),ISNUMBER(K168)),J168*K168,"")</f>
        <v>0</v>
      </c>
      <c r="M168" s="26">
        <f>IF(L168="","",IF(L168&gt;=15,"Kritiek",IF(L168&gt;=8,"Hoog",IF(L168&gt;=4,"Middel","Laag"))))</f>
        <v>0</v>
      </c>
      <c r="N168" s="22"/>
      <c r="O168" s="27"/>
      <c r="P168" s="27"/>
      <c r="Q168" s="27"/>
    </row>
    <row r="169" spans="1:17" ht="18" customHeight="1">
      <c r="A169" s="14" t="s">
        <v>198</v>
      </c>
      <c r="B169" s="15"/>
      <c r="C169" s="15"/>
      <c r="D169" s="16"/>
      <c r="E169" s="17"/>
      <c r="F169" s="17"/>
      <c r="G169" s="18">
        <f>IF(AND(ISNUMBER(E169),ISNUMBER(F169)),E169*F169,"")</f>
        <v>0</v>
      </c>
      <c r="H169" s="19">
        <f>IF(G169="","",IF(G169&gt;=15,"Kritiek",IF(G169&gt;=8,"Hoog",IF(G169&gt;=4,"Middel","Laag"))))</f>
        <v>0</v>
      </c>
      <c r="I169" s="16"/>
      <c r="J169" s="17"/>
      <c r="K169" s="17"/>
      <c r="L169" s="18">
        <f>IF(AND(ISNUMBER(J169),ISNUMBER(K169)),J169*K169,"")</f>
        <v>0</v>
      </c>
      <c r="M169" s="19">
        <f>IF(L169="","",IF(L169&gt;=15,"Kritiek",IF(L169&gt;=8,"Hoog",IF(L169&gt;=4,"Middel","Laag"))))</f>
        <v>0</v>
      </c>
      <c r="N169" s="15"/>
      <c r="O169" s="20"/>
      <c r="P169" s="20"/>
      <c r="Q169" s="20"/>
    </row>
    <row r="170" spans="1:17" ht="18" customHeight="1">
      <c r="A170" s="21" t="s">
        <v>199</v>
      </c>
      <c r="B170" s="22"/>
      <c r="C170" s="22"/>
      <c r="D170" s="23"/>
      <c r="E170" s="24"/>
      <c r="F170" s="24"/>
      <c r="G170" s="25">
        <f>IF(AND(ISNUMBER(E170),ISNUMBER(F170)),E170*F170,"")</f>
        <v>0</v>
      </c>
      <c r="H170" s="26">
        <f>IF(G170="","",IF(G170&gt;=15,"Kritiek",IF(G170&gt;=8,"Hoog",IF(G170&gt;=4,"Middel","Laag"))))</f>
        <v>0</v>
      </c>
      <c r="I170" s="23"/>
      <c r="J170" s="24"/>
      <c r="K170" s="24"/>
      <c r="L170" s="25">
        <f>IF(AND(ISNUMBER(J170),ISNUMBER(K170)),J170*K170,"")</f>
        <v>0</v>
      </c>
      <c r="M170" s="26">
        <f>IF(L170="","",IF(L170&gt;=15,"Kritiek",IF(L170&gt;=8,"Hoog",IF(L170&gt;=4,"Middel","Laag"))))</f>
        <v>0</v>
      </c>
      <c r="N170" s="22"/>
      <c r="O170" s="27"/>
      <c r="P170" s="27"/>
      <c r="Q170" s="27"/>
    </row>
    <row r="171" spans="1:17" ht="18" customHeight="1">
      <c r="A171" s="14" t="s">
        <v>200</v>
      </c>
      <c r="B171" s="15"/>
      <c r="C171" s="15"/>
      <c r="D171" s="16"/>
      <c r="E171" s="17"/>
      <c r="F171" s="17"/>
      <c r="G171" s="18">
        <f>IF(AND(ISNUMBER(E171),ISNUMBER(F171)),E171*F171,"")</f>
        <v>0</v>
      </c>
      <c r="H171" s="19">
        <f>IF(G171="","",IF(G171&gt;=15,"Kritiek",IF(G171&gt;=8,"Hoog",IF(G171&gt;=4,"Middel","Laag"))))</f>
        <v>0</v>
      </c>
      <c r="I171" s="16"/>
      <c r="J171" s="17"/>
      <c r="K171" s="17"/>
      <c r="L171" s="18">
        <f>IF(AND(ISNUMBER(J171),ISNUMBER(K171)),J171*K171,"")</f>
        <v>0</v>
      </c>
      <c r="M171" s="19">
        <f>IF(L171="","",IF(L171&gt;=15,"Kritiek",IF(L171&gt;=8,"Hoog",IF(L171&gt;=4,"Middel","Laag"))))</f>
        <v>0</v>
      </c>
      <c r="N171" s="15"/>
      <c r="O171" s="20"/>
      <c r="P171" s="20"/>
      <c r="Q171" s="20"/>
    </row>
    <row r="172" spans="1:17" ht="18" customHeight="1">
      <c r="A172" s="21" t="s">
        <v>201</v>
      </c>
      <c r="B172" s="22"/>
      <c r="C172" s="22"/>
      <c r="D172" s="23"/>
      <c r="E172" s="24"/>
      <c r="F172" s="24"/>
      <c r="G172" s="25">
        <f>IF(AND(ISNUMBER(E172),ISNUMBER(F172)),E172*F172,"")</f>
        <v>0</v>
      </c>
      <c r="H172" s="26">
        <f>IF(G172="","",IF(G172&gt;=15,"Kritiek",IF(G172&gt;=8,"Hoog",IF(G172&gt;=4,"Middel","Laag"))))</f>
        <v>0</v>
      </c>
      <c r="I172" s="23"/>
      <c r="J172" s="24"/>
      <c r="K172" s="24"/>
      <c r="L172" s="25">
        <f>IF(AND(ISNUMBER(J172),ISNUMBER(K172)),J172*K172,"")</f>
        <v>0</v>
      </c>
      <c r="M172" s="26">
        <f>IF(L172="","",IF(L172&gt;=15,"Kritiek",IF(L172&gt;=8,"Hoog",IF(L172&gt;=4,"Middel","Laag"))))</f>
        <v>0</v>
      </c>
      <c r="N172" s="22"/>
      <c r="O172" s="27"/>
      <c r="P172" s="27"/>
      <c r="Q172" s="27"/>
    </row>
    <row r="173" spans="1:17" ht="18" customHeight="1">
      <c r="A173" s="14" t="s">
        <v>202</v>
      </c>
      <c r="B173" s="15"/>
      <c r="C173" s="15"/>
      <c r="D173" s="16"/>
      <c r="E173" s="17"/>
      <c r="F173" s="17"/>
      <c r="G173" s="18">
        <f>IF(AND(ISNUMBER(E173),ISNUMBER(F173)),E173*F173,"")</f>
        <v>0</v>
      </c>
      <c r="H173" s="19">
        <f>IF(G173="","",IF(G173&gt;=15,"Kritiek",IF(G173&gt;=8,"Hoog",IF(G173&gt;=4,"Middel","Laag"))))</f>
        <v>0</v>
      </c>
      <c r="I173" s="16"/>
      <c r="J173" s="17"/>
      <c r="K173" s="17"/>
      <c r="L173" s="18">
        <f>IF(AND(ISNUMBER(J173),ISNUMBER(K173)),J173*K173,"")</f>
        <v>0</v>
      </c>
      <c r="M173" s="19">
        <f>IF(L173="","",IF(L173&gt;=15,"Kritiek",IF(L173&gt;=8,"Hoog",IF(L173&gt;=4,"Middel","Laag"))))</f>
        <v>0</v>
      </c>
      <c r="N173" s="15"/>
      <c r="O173" s="20"/>
      <c r="P173" s="20"/>
      <c r="Q173" s="20"/>
    </row>
    <row r="174" spans="1:17" ht="18" customHeight="1">
      <c r="A174" s="21" t="s">
        <v>203</v>
      </c>
      <c r="B174" s="22"/>
      <c r="C174" s="22"/>
      <c r="D174" s="23"/>
      <c r="E174" s="24"/>
      <c r="F174" s="24"/>
      <c r="G174" s="25">
        <f>IF(AND(ISNUMBER(E174),ISNUMBER(F174)),E174*F174,"")</f>
        <v>0</v>
      </c>
      <c r="H174" s="26">
        <f>IF(G174="","",IF(G174&gt;=15,"Kritiek",IF(G174&gt;=8,"Hoog",IF(G174&gt;=4,"Middel","Laag"))))</f>
        <v>0</v>
      </c>
      <c r="I174" s="23"/>
      <c r="J174" s="24"/>
      <c r="K174" s="24"/>
      <c r="L174" s="25">
        <f>IF(AND(ISNUMBER(J174),ISNUMBER(K174)),J174*K174,"")</f>
        <v>0</v>
      </c>
      <c r="M174" s="26">
        <f>IF(L174="","",IF(L174&gt;=15,"Kritiek",IF(L174&gt;=8,"Hoog",IF(L174&gt;=4,"Middel","Laag"))))</f>
        <v>0</v>
      </c>
      <c r="N174" s="22"/>
      <c r="O174" s="27"/>
      <c r="P174" s="27"/>
      <c r="Q174" s="27"/>
    </row>
    <row r="175" spans="1:17" ht="18" customHeight="1">
      <c r="A175" s="14" t="s">
        <v>204</v>
      </c>
      <c r="B175" s="15"/>
      <c r="C175" s="15"/>
      <c r="D175" s="16"/>
      <c r="E175" s="17"/>
      <c r="F175" s="17"/>
      <c r="G175" s="18">
        <f>IF(AND(ISNUMBER(E175),ISNUMBER(F175)),E175*F175,"")</f>
        <v>0</v>
      </c>
      <c r="H175" s="19">
        <f>IF(G175="","",IF(G175&gt;=15,"Kritiek",IF(G175&gt;=8,"Hoog",IF(G175&gt;=4,"Middel","Laag"))))</f>
        <v>0</v>
      </c>
      <c r="I175" s="16"/>
      <c r="J175" s="17"/>
      <c r="K175" s="17"/>
      <c r="L175" s="18">
        <f>IF(AND(ISNUMBER(J175),ISNUMBER(K175)),J175*K175,"")</f>
        <v>0</v>
      </c>
      <c r="M175" s="19">
        <f>IF(L175="","",IF(L175&gt;=15,"Kritiek",IF(L175&gt;=8,"Hoog",IF(L175&gt;=4,"Middel","Laag"))))</f>
        <v>0</v>
      </c>
      <c r="N175" s="15"/>
      <c r="O175" s="20"/>
      <c r="P175" s="20"/>
      <c r="Q175" s="20"/>
    </row>
    <row r="176" spans="1:17" ht="18" customHeight="1">
      <c r="A176" s="21" t="s">
        <v>205</v>
      </c>
      <c r="B176" s="22"/>
      <c r="C176" s="22"/>
      <c r="D176" s="23"/>
      <c r="E176" s="24"/>
      <c r="F176" s="24"/>
      <c r="G176" s="25">
        <f>IF(AND(ISNUMBER(E176),ISNUMBER(F176)),E176*F176,"")</f>
        <v>0</v>
      </c>
      <c r="H176" s="26">
        <f>IF(G176="","",IF(G176&gt;=15,"Kritiek",IF(G176&gt;=8,"Hoog",IF(G176&gt;=4,"Middel","Laag"))))</f>
        <v>0</v>
      </c>
      <c r="I176" s="23"/>
      <c r="J176" s="24"/>
      <c r="K176" s="24"/>
      <c r="L176" s="25">
        <f>IF(AND(ISNUMBER(J176),ISNUMBER(K176)),J176*K176,"")</f>
        <v>0</v>
      </c>
      <c r="M176" s="26">
        <f>IF(L176="","",IF(L176&gt;=15,"Kritiek",IF(L176&gt;=8,"Hoog",IF(L176&gt;=4,"Middel","Laag"))))</f>
        <v>0</v>
      </c>
      <c r="N176" s="22"/>
      <c r="O176" s="27"/>
      <c r="P176" s="27"/>
      <c r="Q176" s="27"/>
    </row>
    <row r="177" spans="1:17" ht="18" customHeight="1">
      <c r="A177" s="14" t="s">
        <v>206</v>
      </c>
      <c r="B177" s="15"/>
      <c r="C177" s="15"/>
      <c r="D177" s="16"/>
      <c r="E177" s="17"/>
      <c r="F177" s="17"/>
      <c r="G177" s="18">
        <f>IF(AND(ISNUMBER(E177),ISNUMBER(F177)),E177*F177,"")</f>
        <v>0</v>
      </c>
      <c r="H177" s="19">
        <f>IF(G177="","",IF(G177&gt;=15,"Kritiek",IF(G177&gt;=8,"Hoog",IF(G177&gt;=4,"Middel","Laag"))))</f>
        <v>0</v>
      </c>
      <c r="I177" s="16"/>
      <c r="J177" s="17"/>
      <c r="K177" s="17"/>
      <c r="L177" s="18">
        <f>IF(AND(ISNUMBER(J177),ISNUMBER(K177)),J177*K177,"")</f>
        <v>0</v>
      </c>
      <c r="M177" s="19">
        <f>IF(L177="","",IF(L177&gt;=15,"Kritiek",IF(L177&gt;=8,"Hoog",IF(L177&gt;=4,"Middel","Laag"))))</f>
        <v>0</v>
      </c>
      <c r="N177" s="15"/>
      <c r="O177" s="20"/>
      <c r="P177" s="20"/>
      <c r="Q177" s="20"/>
    </row>
    <row r="178" spans="1:17" ht="18" customHeight="1">
      <c r="A178" s="21" t="s">
        <v>207</v>
      </c>
      <c r="B178" s="22"/>
      <c r="C178" s="22"/>
      <c r="D178" s="23"/>
      <c r="E178" s="24"/>
      <c r="F178" s="24"/>
      <c r="G178" s="25">
        <f>IF(AND(ISNUMBER(E178),ISNUMBER(F178)),E178*F178,"")</f>
        <v>0</v>
      </c>
      <c r="H178" s="26">
        <f>IF(G178="","",IF(G178&gt;=15,"Kritiek",IF(G178&gt;=8,"Hoog",IF(G178&gt;=4,"Middel","Laag"))))</f>
        <v>0</v>
      </c>
      <c r="I178" s="23"/>
      <c r="J178" s="24"/>
      <c r="K178" s="24"/>
      <c r="L178" s="25">
        <f>IF(AND(ISNUMBER(J178),ISNUMBER(K178)),J178*K178,"")</f>
        <v>0</v>
      </c>
      <c r="M178" s="26">
        <f>IF(L178="","",IF(L178&gt;=15,"Kritiek",IF(L178&gt;=8,"Hoog",IF(L178&gt;=4,"Middel","Laag"))))</f>
        <v>0</v>
      </c>
      <c r="N178" s="22"/>
      <c r="O178" s="27"/>
      <c r="P178" s="27"/>
      <c r="Q178" s="27"/>
    </row>
    <row r="179" spans="1:17" ht="18" customHeight="1">
      <c r="A179" s="14" t="s">
        <v>208</v>
      </c>
      <c r="B179" s="15"/>
      <c r="C179" s="15"/>
      <c r="D179" s="16"/>
      <c r="E179" s="17"/>
      <c r="F179" s="17"/>
      <c r="G179" s="18">
        <f>IF(AND(ISNUMBER(E179),ISNUMBER(F179)),E179*F179,"")</f>
        <v>0</v>
      </c>
      <c r="H179" s="19">
        <f>IF(G179="","",IF(G179&gt;=15,"Kritiek",IF(G179&gt;=8,"Hoog",IF(G179&gt;=4,"Middel","Laag"))))</f>
        <v>0</v>
      </c>
      <c r="I179" s="16"/>
      <c r="J179" s="17"/>
      <c r="K179" s="17"/>
      <c r="L179" s="18">
        <f>IF(AND(ISNUMBER(J179),ISNUMBER(K179)),J179*K179,"")</f>
        <v>0</v>
      </c>
      <c r="M179" s="19">
        <f>IF(L179="","",IF(L179&gt;=15,"Kritiek",IF(L179&gt;=8,"Hoog",IF(L179&gt;=4,"Middel","Laag"))))</f>
        <v>0</v>
      </c>
      <c r="N179" s="15"/>
      <c r="O179" s="20"/>
      <c r="P179" s="20"/>
      <c r="Q179" s="20"/>
    </row>
    <row r="180" spans="1:17" ht="18" customHeight="1">
      <c r="A180" s="21" t="s">
        <v>209</v>
      </c>
      <c r="B180" s="22"/>
      <c r="C180" s="22"/>
      <c r="D180" s="23"/>
      <c r="E180" s="24"/>
      <c r="F180" s="24"/>
      <c r="G180" s="25">
        <f>IF(AND(ISNUMBER(E180),ISNUMBER(F180)),E180*F180,"")</f>
        <v>0</v>
      </c>
      <c r="H180" s="26">
        <f>IF(G180="","",IF(G180&gt;=15,"Kritiek",IF(G180&gt;=8,"Hoog",IF(G180&gt;=4,"Middel","Laag"))))</f>
        <v>0</v>
      </c>
      <c r="I180" s="23"/>
      <c r="J180" s="24"/>
      <c r="K180" s="24"/>
      <c r="L180" s="25">
        <f>IF(AND(ISNUMBER(J180),ISNUMBER(K180)),J180*K180,"")</f>
        <v>0</v>
      </c>
      <c r="M180" s="26">
        <f>IF(L180="","",IF(L180&gt;=15,"Kritiek",IF(L180&gt;=8,"Hoog",IF(L180&gt;=4,"Middel","Laag"))))</f>
        <v>0</v>
      </c>
      <c r="N180" s="22"/>
      <c r="O180" s="27"/>
      <c r="P180" s="27"/>
      <c r="Q180" s="27"/>
    </row>
    <row r="181" spans="1:17" ht="18" customHeight="1">
      <c r="A181" s="14" t="s">
        <v>210</v>
      </c>
      <c r="B181" s="15"/>
      <c r="C181" s="15"/>
      <c r="D181" s="16"/>
      <c r="E181" s="17"/>
      <c r="F181" s="17"/>
      <c r="G181" s="18">
        <f>IF(AND(ISNUMBER(E181),ISNUMBER(F181)),E181*F181,"")</f>
        <v>0</v>
      </c>
      <c r="H181" s="19">
        <f>IF(G181="","",IF(G181&gt;=15,"Kritiek",IF(G181&gt;=8,"Hoog",IF(G181&gt;=4,"Middel","Laag"))))</f>
        <v>0</v>
      </c>
      <c r="I181" s="16"/>
      <c r="J181" s="17"/>
      <c r="K181" s="17"/>
      <c r="L181" s="18">
        <f>IF(AND(ISNUMBER(J181),ISNUMBER(K181)),J181*K181,"")</f>
        <v>0</v>
      </c>
      <c r="M181" s="19">
        <f>IF(L181="","",IF(L181&gt;=15,"Kritiek",IF(L181&gt;=8,"Hoog",IF(L181&gt;=4,"Middel","Laag"))))</f>
        <v>0</v>
      </c>
      <c r="N181" s="15"/>
      <c r="O181" s="20"/>
      <c r="P181" s="20"/>
      <c r="Q181" s="20"/>
    </row>
    <row r="182" spans="1:17" ht="18" customHeight="1">
      <c r="A182" s="21" t="s">
        <v>211</v>
      </c>
      <c r="B182" s="22"/>
      <c r="C182" s="22"/>
      <c r="D182" s="23"/>
      <c r="E182" s="24"/>
      <c r="F182" s="24"/>
      <c r="G182" s="25">
        <f>IF(AND(ISNUMBER(E182),ISNUMBER(F182)),E182*F182,"")</f>
        <v>0</v>
      </c>
      <c r="H182" s="26">
        <f>IF(G182="","",IF(G182&gt;=15,"Kritiek",IF(G182&gt;=8,"Hoog",IF(G182&gt;=4,"Middel","Laag"))))</f>
        <v>0</v>
      </c>
      <c r="I182" s="23"/>
      <c r="J182" s="24"/>
      <c r="K182" s="24"/>
      <c r="L182" s="25">
        <f>IF(AND(ISNUMBER(J182),ISNUMBER(K182)),J182*K182,"")</f>
        <v>0</v>
      </c>
      <c r="M182" s="26">
        <f>IF(L182="","",IF(L182&gt;=15,"Kritiek",IF(L182&gt;=8,"Hoog",IF(L182&gt;=4,"Middel","Laag"))))</f>
        <v>0</v>
      </c>
      <c r="N182" s="22"/>
      <c r="O182" s="27"/>
      <c r="P182" s="27"/>
      <c r="Q182" s="27"/>
    </row>
    <row r="183" spans="1:17" ht="18" customHeight="1">
      <c r="A183" s="14" t="s">
        <v>212</v>
      </c>
      <c r="B183" s="15"/>
      <c r="C183" s="15"/>
      <c r="D183" s="16"/>
      <c r="E183" s="17"/>
      <c r="F183" s="17"/>
      <c r="G183" s="18">
        <f>IF(AND(ISNUMBER(E183),ISNUMBER(F183)),E183*F183,"")</f>
        <v>0</v>
      </c>
      <c r="H183" s="19">
        <f>IF(G183="","",IF(G183&gt;=15,"Kritiek",IF(G183&gt;=8,"Hoog",IF(G183&gt;=4,"Middel","Laag"))))</f>
        <v>0</v>
      </c>
      <c r="I183" s="16"/>
      <c r="J183" s="17"/>
      <c r="K183" s="17"/>
      <c r="L183" s="18">
        <f>IF(AND(ISNUMBER(J183),ISNUMBER(K183)),J183*K183,"")</f>
        <v>0</v>
      </c>
      <c r="M183" s="19">
        <f>IF(L183="","",IF(L183&gt;=15,"Kritiek",IF(L183&gt;=8,"Hoog",IF(L183&gt;=4,"Middel","Laag"))))</f>
        <v>0</v>
      </c>
      <c r="N183" s="15"/>
      <c r="O183" s="20"/>
      <c r="P183" s="20"/>
      <c r="Q183" s="20"/>
    </row>
    <row r="184" spans="1:17" ht="18" customHeight="1">
      <c r="A184" s="21" t="s">
        <v>213</v>
      </c>
      <c r="B184" s="22"/>
      <c r="C184" s="22"/>
      <c r="D184" s="23"/>
      <c r="E184" s="24"/>
      <c r="F184" s="24"/>
      <c r="G184" s="25">
        <f>IF(AND(ISNUMBER(E184),ISNUMBER(F184)),E184*F184,"")</f>
        <v>0</v>
      </c>
      <c r="H184" s="26">
        <f>IF(G184="","",IF(G184&gt;=15,"Kritiek",IF(G184&gt;=8,"Hoog",IF(G184&gt;=4,"Middel","Laag"))))</f>
        <v>0</v>
      </c>
      <c r="I184" s="23"/>
      <c r="J184" s="24"/>
      <c r="K184" s="24"/>
      <c r="L184" s="25">
        <f>IF(AND(ISNUMBER(J184),ISNUMBER(K184)),J184*K184,"")</f>
        <v>0</v>
      </c>
      <c r="M184" s="26">
        <f>IF(L184="","",IF(L184&gt;=15,"Kritiek",IF(L184&gt;=8,"Hoog",IF(L184&gt;=4,"Middel","Laag"))))</f>
        <v>0</v>
      </c>
      <c r="N184" s="22"/>
      <c r="O184" s="27"/>
      <c r="P184" s="27"/>
      <c r="Q184" s="27"/>
    </row>
    <row r="185" spans="1:17" ht="18" customHeight="1">
      <c r="A185" s="14" t="s">
        <v>214</v>
      </c>
      <c r="B185" s="15"/>
      <c r="C185" s="15"/>
      <c r="D185" s="16"/>
      <c r="E185" s="17"/>
      <c r="F185" s="17"/>
      <c r="G185" s="18">
        <f>IF(AND(ISNUMBER(E185),ISNUMBER(F185)),E185*F185,"")</f>
        <v>0</v>
      </c>
      <c r="H185" s="19">
        <f>IF(G185="","",IF(G185&gt;=15,"Kritiek",IF(G185&gt;=8,"Hoog",IF(G185&gt;=4,"Middel","Laag"))))</f>
        <v>0</v>
      </c>
      <c r="I185" s="16"/>
      <c r="J185" s="17"/>
      <c r="K185" s="17"/>
      <c r="L185" s="18">
        <f>IF(AND(ISNUMBER(J185),ISNUMBER(K185)),J185*K185,"")</f>
        <v>0</v>
      </c>
      <c r="M185" s="19">
        <f>IF(L185="","",IF(L185&gt;=15,"Kritiek",IF(L185&gt;=8,"Hoog",IF(L185&gt;=4,"Middel","Laag"))))</f>
        <v>0</v>
      </c>
      <c r="N185" s="15"/>
      <c r="O185" s="20"/>
      <c r="P185" s="20"/>
      <c r="Q185" s="20"/>
    </row>
    <row r="186" spans="1:17" ht="18" customHeight="1">
      <c r="A186" s="21" t="s">
        <v>215</v>
      </c>
      <c r="B186" s="22"/>
      <c r="C186" s="22"/>
      <c r="D186" s="23"/>
      <c r="E186" s="24"/>
      <c r="F186" s="24"/>
      <c r="G186" s="25">
        <f>IF(AND(ISNUMBER(E186),ISNUMBER(F186)),E186*F186,"")</f>
        <v>0</v>
      </c>
      <c r="H186" s="26">
        <f>IF(G186="","",IF(G186&gt;=15,"Kritiek",IF(G186&gt;=8,"Hoog",IF(G186&gt;=4,"Middel","Laag"))))</f>
        <v>0</v>
      </c>
      <c r="I186" s="23"/>
      <c r="J186" s="24"/>
      <c r="K186" s="24"/>
      <c r="L186" s="25">
        <f>IF(AND(ISNUMBER(J186),ISNUMBER(K186)),J186*K186,"")</f>
        <v>0</v>
      </c>
      <c r="M186" s="26">
        <f>IF(L186="","",IF(L186&gt;=15,"Kritiek",IF(L186&gt;=8,"Hoog",IF(L186&gt;=4,"Middel","Laag"))))</f>
        <v>0</v>
      </c>
      <c r="N186" s="22"/>
      <c r="O186" s="27"/>
      <c r="P186" s="27"/>
      <c r="Q186" s="27"/>
    </row>
    <row r="187" spans="1:17" ht="18" customHeight="1">
      <c r="A187" s="14" t="s">
        <v>216</v>
      </c>
      <c r="B187" s="15"/>
      <c r="C187" s="15"/>
      <c r="D187" s="16"/>
      <c r="E187" s="17"/>
      <c r="F187" s="17"/>
      <c r="G187" s="18">
        <f>IF(AND(ISNUMBER(E187),ISNUMBER(F187)),E187*F187,"")</f>
        <v>0</v>
      </c>
      <c r="H187" s="19">
        <f>IF(G187="","",IF(G187&gt;=15,"Kritiek",IF(G187&gt;=8,"Hoog",IF(G187&gt;=4,"Middel","Laag"))))</f>
        <v>0</v>
      </c>
      <c r="I187" s="16"/>
      <c r="J187" s="17"/>
      <c r="K187" s="17"/>
      <c r="L187" s="18">
        <f>IF(AND(ISNUMBER(J187),ISNUMBER(K187)),J187*K187,"")</f>
        <v>0</v>
      </c>
      <c r="M187" s="19">
        <f>IF(L187="","",IF(L187&gt;=15,"Kritiek",IF(L187&gt;=8,"Hoog",IF(L187&gt;=4,"Middel","Laag"))))</f>
        <v>0</v>
      </c>
      <c r="N187" s="15"/>
      <c r="O187" s="20"/>
      <c r="P187" s="20"/>
      <c r="Q187" s="20"/>
    </row>
    <row r="188" spans="1:17" ht="18" customHeight="1">
      <c r="A188" s="21" t="s">
        <v>217</v>
      </c>
      <c r="B188" s="22"/>
      <c r="C188" s="22"/>
      <c r="D188" s="23"/>
      <c r="E188" s="24"/>
      <c r="F188" s="24"/>
      <c r="G188" s="25">
        <f>IF(AND(ISNUMBER(E188),ISNUMBER(F188)),E188*F188,"")</f>
        <v>0</v>
      </c>
      <c r="H188" s="26">
        <f>IF(G188="","",IF(G188&gt;=15,"Kritiek",IF(G188&gt;=8,"Hoog",IF(G188&gt;=4,"Middel","Laag"))))</f>
        <v>0</v>
      </c>
      <c r="I188" s="23"/>
      <c r="J188" s="24"/>
      <c r="K188" s="24"/>
      <c r="L188" s="25">
        <f>IF(AND(ISNUMBER(J188),ISNUMBER(K188)),J188*K188,"")</f>
        <v>0</v>
      </c>
      <c r="M188" s="26">
        <f>IF(L188="","",IF(L188&gt;=15,"Kritiek",IF(L188&gt;=8,"Hoog",IF(L188&gt;=4,"Middel","Laag"))))</f>
        <v>0</v>
      </c>
      <c r="N188" s="22"/>
      <c r="O188" s="27"/>
      <c r="P188" s="27"/>
      <c r="Q188" s="27"/>
    </row>
    <row r="189" spans="1:17" ht="18" customHeight="1">
      <c r="A189" s="14" t="s">
        <v>218</v>
      </c>
      <c r="B189" s="15"/>
      <c r="C189" s="15"/>
      <c r="D189" s="16"/>
      <c r="E189" s="17"/>
      <c r="F189" s="17"/>
      <c r="G189" s="18">
        <f>IF(AND(ISNUMBER(E189),ISNUMBER(F189)),E189*F189,"")</f>
        <v>0</v>
      </c>
      <c r="H189" s="19">
        <f>IF(G189="","",IF(G189&gt;=15,"Kritiek",IF(G189&gt;=8,"Hoog",IF(G189&gt;=4,"Middel","Laag"))))</f>
        <v>0</v>
      </c>
      <c r="I189" s="16"/>
      <c r="J189" s="17"/>
      <c r="K189" s="17"/>
      <c r="L189" s="18">
        <f>IF(AND(ISNUMBER(J189),ISNUMBER(K189)),J189*K189,"")</f>
        <v>0</v>
      </c>
      <c r="M189" s="19">
        <f>IF(L189="","",IF(L189&gt;=15,"Kritiek",IF(L189&gt;=8,"Hoog",IF(L189&gt;=4,"Middel","Laag"))))</f>
        <v>0</v>
      </c>
      <c r="N189" s="15"/>
      <c r="O189" s="20"/>
      <c r="P189" s="20"/>
      <c r="Q189" s="20"/>
    </row>
    <row r="190" spans="1:17" ht="18" customHeight="1">
      <c r="A190" s="21" t="s">
        <v>219</v>
      </c>
      <c r="B190" s="22"/>
      <c r="C190" s="22"/>
      <c r="D190" s="23"/>
      <c r="E190" s="24"/>
      <c r="F190" s="24"/>
      <c r="G190" s="25">
        <f>IF(AND(ISNUMBER(E190),ISNUMBER(F190)),E190*F190,"")</f>
        <v>0</v>
      </c>
      <c r="H190" s="26">
        <f>IF(G190="","",IF(G190&gt;=15,"Kritiek",IF(G190&gt;=8,"Hoog",IF(G190&gt;=4,"Middel","Laag"))))</f>
        <v>0</v>
      </c>
      <c r="I190" s="23"/>
      <c r="J190" s="24"/>
      <c r="K190" s="24"/>
      <c r="L190" s="25">
        <f>IF(AND(ISNUMBER(J190),ISNUMBER(K190)),J190*K190,"")</f>
        <v>0</v>
      </c>
      <c r="M190" s="26">
        <f>IF(L190="","",IF(L190&gt;=15,"Kritiek",IF(L190&gt;=8,"Hoog",IF(L190&gt;=4,"Middel","Laag"))))</f>
        <v>0</v>
      </c>
      <c r="N190" s="22"/>
      <c r="O190" s="27"/>
      <c r="P190" s="27"/>
      <c r="Q190" s="27"/>
    </row>
    <row r="191" spans="1:17" ht="18" customHeight="1">
      <c r="A191" s="14" t="s">
        <v>220</v>
      </c>
      <c r="B191" s="15"/>
      <c r="C191" s="15"/>
      <c r="D191" s="16"/>
      <c r="E191" s="17"/>
      <c r="F191" s="17"/>
      <c r="G191" s="18">
        <f>IF(AND(ISNUMBER(E191),ISNUMBER(F191)),E191*F191,"")</f>
        <v>0</v>
      </c>
      <c r="H191" s="19">
        <f>IF(G191="","",IF(G191&gt;=15,"Kritiek",IF(G191&gt;=8,"Hoog",IF(G191&gt;=4,"Middel","Laag"))))</f>
        <v>0</v>
      </c>
      <c r="I191" s="16"/>
      <c r="J191" s="17"/>
      <c r="K191" s="17"/>
      <c r="L191" s="18">
        <f>IF(AND(ISNUMBER(J191),ISNUMBER(K191)),J191*K191,"")</f>
        <v>0</v>
      </c>
      <c r="M191" s="19">
        <f>IF(L191="","",IF(L191&gt;=15,"Kritiek",IF(L191&gt;=8,"Hoog",IF(L191&gt;=4,"Middel","Laag"))))</f>
        <v>0</v>
      </c>
      <c r="N191" s="15"/>
      <c r="O191" s="20"/>
      <c r="P191" s="20"/>
      <c r="Q191" s="20"/>
    </row>
    <row r="192" spans="1:17" ht="18" customHeight="1">
      <c r="A192" s="21" t="s">
        <v>221</v>
      </c>
      <c r="B192" s="22"/>
      <c r="C192" s="22"/>
      <c r="D192" s="23"/>
      <c r="E192" s="24"/>
      <c r="F192" s="24"/>
      <c r="G192" s="25">
        <f>IF(AND(ISNUMBER(E192),ISNUMBER(F192)),E192*F192,"")</f>
        <v>0</v>
      </c>
      <c r="H192" s="26">
        <f>IF(G192="","",IF(G192&gt;=15,"Kritiek",IF(G192&gt;=8,"Hoog",IF(G192&gt;=4,"Middel","Laag"))))</f>
        <v>0</v>
      </c>
      <c r="I192" s="23"/>
      <c r="J192" s="24"/>
      <c r="K192" s="24"/>
      <c r="L192" s="25">
        <f>IF(AND(ISNUMBER(J192),ISNUMBER(K192)),J192*K192,"")</f>
        <v>0</v>
      </c>
      <c r="M192" s="26">
        <f>IF(L192="","",IF(L192&gt;=15,"Kritiek",IF(L192&gt;=8,"Hoog",IF(L192&gt;=4,"Middel","Laag"))))</f>
        <v>0</v>
      </c>
      <c r="N192" s="22"/>
      <c r="O192" s="27"/>
      <c r="P192" s="27"/>
      <c r="Q192" s="27"/>
    </row>
    <row r="193" spans="1:17" ht="18" customHeight="1">
      <c r="A193" s="14" t="s">
        <v>222</v>
      </c>
      <c r="B193" s="15"/>
      <c r="C193" s="15"/>
      <c r="D193" s="16"/>
      <c r="E193" s="17"/>
      <c r="F193" s="17"/>
      <c r="G193" s="18">
        <f>IF(AND(ISNUMBER(E193),ISNUMBER(F193)),E193*F193,"")</f>
        <v>0</v>
      </c>
      <c r="H193" s="19">
        <f>IF(G193="","",IF(G193&gt;=15,"Kritiek",IF(G193&gt;=8,"Hoog",IF(G193&gt;=4,"Middel","Laag"))))</f>
        <v>0</v>
      </c>
      <c r="I193" s="16"/>
      <c r="J193" s="17"/>
      <c r="K193" s="17"/>
      <c r="L193" s="18">
        <f>IF(AND(ISNUMBER(J193),ISNUMBER(K193)),J193*K193,"")</f>
        <v>0</v>
      </c>
      <c r="M193" s="19">
        <f>IF(L193="","",IF(L193&gt;=15,"Kritiek",IF(L193&gt;=8,"Hoog",IF(L193&gt;=4,"Middel","Laag"))))</f>
        <v>0</v>
      </c>
      <c r="N193" s="15"/>
      <c r="O193" s="20"/>
      <c r="P193" s="20"/>
      <c r="Q193" s="20"/>
    </row>
    <row r="194" spans="1:17" ht="18" customHeight="1">
      <c r="A194" s="21" t="s">
        <v>223</v>
      </c>
      <c r="B194" s="22"/>
      <c r="C194" s="22"/>
      <c r="D194" s="23"/>
      <c r="E194" s="24"/>
      <c r="F194" s="24"/>
      <c r="G194" s="25">
        <f>IF(AND(ISNUMBER(E194),ISNUMBER(F194)),E194*F194,"")</f>
        <v>0</v>
      </c>
      <c r="H194" s="26">
        <f>IF(G194="","",IF(G194&gt;=15,"Kritiek",IF(G194&gt;=8,"Hoog",IF(G194&gt;=4,"Middel","Laag"))))</f>
        <v>0</v>
      </c>
      <c r="I194" s="23"/>
      <c r="J194" s="24"/>
      <c r="K194" s="24"/>
      <c r="L194" s="25">
        <f>IF(AND(ISNUMBER(J194),ISNUMBER(K194)),J194*K194,"")</f>
        <v>0</v>
      </c>
      <c r="M194" s="26">
        <f>IF(L194="","",IF(L194&gt;=15,"Kritiek",IF(L194&gt;=8,"Hoog",IF(L194&gt;=4,"Middel","Laag"))))</f>
        <v>0</v>
      </c>
      <c r="N194" s="22"/>
      <c r="O194" s="27"/>
      <c r="P194" s="27"/>
      <c r="Q194" s="27"/>
    </row>
    <row r="195" spans="1:17" ht="18" customHeight="1">
      <c r="A195" s="14" t="s">
        <v>224</v>
      </c>
      <c r="B195" s="15"/>
      <c r="C195" s="15"/>
      <c r="D195" s="16"/>
      <c r="E195" s="17"/>
      <c r="F195" s="17"/>
      <c r="G195" s="18">
        <f>IF(AND(ISNUMBER(E195),ISNUMBER(F195)),E195*F195,"")</f>
        <v>0</v>
      </c>
      <c r="H195" s="19">
        <f>IF(G195="","",IF(G195&gt;=15,"Kritiek",IF(G195&gt;=8,"Hoog",IF(G195&gt;=4,"Middel","Laag"))))</f>
        <v>0</v>
      </c>
      <c r="I195" s="16"/>
      <c r="J195" s="17"/>
      <c r="K195" s="17"/>
      <c r="L195" s="18">
        <f>IF(AND(ISNUMBER(J195),ISNUMBER(K195)),J195*K195,"")</f>
        <v>0</v>
      </c>
      <c r="M195" s="19">
        <f>IF(L195="","",IF(L195&gt;=15,"Kritiek",IF(L195&gt;=8,"Hoog",IF(L195&gt;=4,"Middel","Laag"))))</f>
        <v>0</v>
      </c>
      <c r="N195" s="15"/>
      <c r="O195" s="20"/>
      <c r="P195" s="20"/>
      <c r="Q195" s="20"/>
    </row>
    <row r="196" spans="1:17" ht="18" customHeight="1">
      <c r="A196" s="21" t="s">
        <v>225</v>
      </c>
      <c r="B196" s="22"/>
      <c r="C196" s="22"/>
      <c r="D196" s="23"/>
      <c r="E196" s="24"/>
      <c r="F196" s="24"/>
      <c r="G196" s="25">
        <f>IF(AND(ISNUMBER(E196),ISNUMBER(F196)),E196*F196,"")</f>
        <v>0</v>
      </c>
      <c r="H196" s="26">
        <f>IF(G196="","",IF(G196&gt;=15,"Kritiek",IF(G196&gt;=8,"Hoog",IF(G196&gt;=4,"Middel","Laag"))))</f>
        <v>0</v>
      </c>
      <c r="I196" s="23"/>
      <c r="J196" s="24"/>
      <c r="K196" s="24"/>
      <c r="L196" s="25">
        <f>IF(AND(ISNUMBER(J196),ISNUMBER(K196)),J196*K196,"")</f>
        <v>0</v>
      </c>
      <c r="M196" s="26">
        <f>IF(L196="","",IF(L196&gt;=15,"Kritiek",IF(L196&gt;=8,"Hoog",IF(L196&gt;=4,"Middel","Laag"))))</f>
        <v>0</v>
      </c>
      <c r="N196" s="22"/>
      <c r="O196" s="27"/>
      <c r="P196" s="27"/>
      <c r="Q196" s="27"/>
    </row>
    <row r="197" spans="1:17" ht="18" customHeight="1">
      <c r="A197" s="14" t="s">
        <v>226</v>
      </c>
      <c r="B197" s="15"/>
      <c r="C197" s="15"/>
      <c r="D197" s="16"/>
      <c r="E197" s="17"/>
      <c r="F197" s="17"/>
      <c r="G197" s="18">
        <f>IF(AND(ISNUMBER(E197),ISNUMBER(F197)),E197*F197,"")</f>
        <v>0</v>
      </c>
      <c r="H197" s="19">
        <f>IF(G197="","",IF(G197&gt;=15,"Kritiek",IF(G197&gt;=8,"Hoog",IF(G197&gt;=4,"Middel","Laag"))))</f>
        <v>0</v>
      </c>
      <c r="I197" s="16"/>
      <c r="J197" s="17"/>
      <c r="K197" s="17"/>
      <c r="L197" s="18">
        <f>IF(AND(ISNUMBER(J197),ISNUMBER(K197)),J197*K197,"")</f>
        <v>0</v>
      </c>
      <c r="M197" s="19">
        <f>IF(L197="","",IF(L197&gt;=15,"Kritiek",IF(L197&gt;=8,"Hoog",IF(L197&gt;=4,"Middel","Laag"))))</f>
        <v>0</v>
      </c>
      <c r="N197" s="15"/>
      <c r="O197" s="20"/>
      <c r="P197" s="20"/>
      <c r="Q197" s="20"/>
    </row>
    <row r="198" spans="1:17" ht="18" customHeight="1">
      <c r="A198" s="21" t="s">
        <v>227</v>
      </c>
      <c r="B198" s="22"/>
      <c r="C198" s="22"/>
      <c r="D198" s="23"/>
      <c r="E198" s="24"/>
      <c r="F198" s="24"/>
      <c r="G198" s="25">
        <f>IF(AND(ISNUMBER(E198),ISNUMBER(F198)),E198*F198,"")</f>
        <v>0</v>
      </c>
      <c r="H198" s="26">
        <f>IF(G198="","",IF(G198&gt;=15,"Kritiek",IF(G198&gt;=8,"Hoog",IF(G198&gt;=4,"Middel","Laag"))))</f>
        <v>0</v>
      </c>
      <c r="I198" s="23"/>
      <c r="J198" s="24"/>
      <c r="K198" s="24"/>
      <c r="L198" s="25">
        <f>IF(AND(ISNUMBER(J198),ISNUMBER(K198)),J198*K198,"")</f>
        <v>0</v>
      </c>
      <c r="M198" s="26">
        <f>IF(L198="","",IF(L198&gt;=15,"Kritiek",IF(L198&gt;=8,"Hoog",IF(L198&gt;=4,"Middel","Laag"))))</f>
        <v>0</v>
      </c>
      <c r="N198" s="22"/>
      <c r="O198" s="27"/>
      <c r="P198" s="27"/>
      <c r="Q198" s="27"/>
    </row>
    <row r="199" spans="1:17" ht="18" customHeight="1">
      <c r="A199" s="14" t="s">
        <v>228</v>
      </c>
      <c r="B199" s="15"/>
      <c r="C199" s="15"/>
      <c r="D199" s="16"/>
      <c r="E199" s="17"/>
      <c r="F199" s="17"/>
      <c r="G199" s="18">
        <f>IF(AND(ISNUMBER(E199),ISNUMBER(F199)),E199*F199,"")</f>
        <v>0</v>
      </c>
      <c r="H199" s="19">
        <f>IF(G199="","",IF(G199&gt;=15,"Kritiek",IF(G199&gt;=8,"Hoog",IF(G199&gt;=4,"Middel","Laag"))))</f>
        <v>0</v>
      </c>
      <c r="I199" s="16"/>
      <c r="J199" s="17"/>
      <c r="K199" s="17"/>
      <c r="L199" s="18">
        <f>IF(AND(ISNUMBER(J199),ISNUMBER(K199)),J199*K199,"")</f>
        <v>0</v>
      </c>
      <c r="M199" s="19">
        <f>IF(L199="","",IF(L199&gt;=15,"Kritiek",IF(L199&gt;=8,"Hoog",IF(L199&gt;=4,"Middel","Laag"))))</f>
        <v>0</v>
      </c>
      <c r="N199" s="15"/>
      <c r="O199" s="20"/>
      <c r="P199" s="20"/>
      <c r="Q199" s="20"/>
    </row>
    <row r="200" spans="1:17" ht="18" customHeight="1">
      <c r="A200" s="21" t="s">
        <v>229</v>
      </c>
      <c r="B200" s="22"/>
      <c r="C200" s="22"/>
      <c r="D200" s="23"/>
      <c r="E200" s="24"/>
      <c r="F200" s="24"/>
      <c r="G200" s="25">
        <f>IF(AND(ISNUMBER(E200),ISNUMBER(F200)),E200*F200,"")</f>
        <v>0</v>
      </c>
      <c r="H200" s="26">
        <f>IF(G200="","",IF(G200&gt;=15,"Kritiek",IF(G200&gt;=8,"Hoog",IF(G200&gt;=4,"Middel","Laag"))))</f>
        <v>0</v>
      </c>
      <c r="I200" s="23"/>
      <c r="J200" s="24"/>
      <c r="K200" s="24"/>
      <c r="L200" s="25">
        <f>IF(AND(ISNUMBER(J200),ISNUMBER(K200)),J200*K200,"")</f>
        <v>0</v>
      </c>
      <c r="M200" s="26">
        <f>IF(L200="","",IF(L200&gt;=15,"Kritiek",IF(L200&gt;=8,"Hoog",IF(L200&gt;=4,"Middel","Laag"))))</f>
        <v>0</v>
      </c>
      <c r="N200" s="22"/>
      <c r="O200" s="27"/>
      <c r="P200" s="27"/>
      <c r="Q200" s="27"/>
    </row>
    <row r="201" spans="1:17" ht="18" customHeight="1">
      <c r="A201" s="14" t="s">
        <v>230</v>
      </c>
      <c r="B201" s="15"/>
      <c r="C201" s="15"/>
      <c r="D201" s="16"/>
      <c r="E201" s="17"/>
      <c r="F201" s="17"/>
      <c r="G201" s="18">
        <f>IF(AND(ISNUMBER(E201),ISNUMBER(F201)),E201*F201,"")</f>
        <v>0</v>
      </c>
      <c r="H201" s="19">
        <f>IF(G201="","",IF(G201&gt;=15,"Kritiek",IF(G201&gt;=8,"Hoog",IF(G201&gt;=4,"Middel","Laag"))))</f>
        <v>0</v>
      </c>
      <c r="I201" s="16"/>
      <c r="J201" s="17"/>
      <c r="K201" s="17"/>
      <c r="L201" s="18">
        <f>IF(AND(ISNUMBER(J201),ISNUMBER(K201)),J201*K201,"")</f>
        <v>0</v>
      </c>
      <c r="M201" s="19">
        <f>IF(L201="","",IF(L201&gt;=15,"Kritiek",IF(L201&gt;=8,"Hoog",IF(L201&gt;=4,"Middel","Laag"))))</f>
        <v>0</v>
      </c>
      <c r="N201" s="15"/>
      <c r="O201" s="20"/>
      <c r="P201" s="20"/>
      <c r="Q201" s="20"/>
    </row>
    <row r="202" spans="1:17" ht="18" customHeight="1">
      <c r="A202" s="21" t="s">
        <v>231</v>
      </c>
      <c r="B202" s="22"/>
      <c r="C202" s="22"/>
      <c r="D202" s="23"/>
      <c r="E202" s="24"/>
      <c r="F202" s="24"/>
      <c r="G202" s="25">
        <f>IF(AND(ISNUMBER(E202),ISNUMBER(F202)),E202*F202,"")</f>
        <v>0</v>
      </c>
      <c r="H202" s="26">
        <f>IF(G202="","",IF(G202&gt;=15,"Kritiek",IF(G202&gt;=8,"Hoog",IF(G202&gt;=4,"Middel","Laag"))))</f>
        <v>0</v>
      </c>
      <c r="I202" s="23"/>
      <c r="J202" s="24"/>
      <c r="K202" s="24"/>
      <c r="L202" s="25">
        <f>IF(AND(ISNUMBER(J202),ISNUMBER(K202)),J202*K202,"")</f>
        <v>0</v>
      </c>
      <c r="M202" s="26">
        <f>IF(L202="","",IF(L202&gt;=15,"Kritiek",IF(L202&gt;=8,"Hoog",IF(L202&gt;=4,"Middel","Laag"))))</f>
        <v>0</v>
      </c>
      <c r="N202" s="22"/>
      <c r="O202" s="27"/>
      <c r="P202" s="27"/>
      <c r="Q202" s="27"/>
    </row>
    <row r="203" spans="1:17" ht="18" customHeight="1">
      <c r="A203" s="14" t="s">
        <v>232</v>
      </c>
      <c r="B203" s="15"/>
      <c r="C203" s="15"/>
      <c r="D203" s="16"/>
      <c r="E203" s="17"/>
      <c r="F203" s="17"/>
      <c r="G203" s="18">
        <f>IF(AND(ISNUMBER(E203),ISNUMBER(F203)),E203*F203,"")</f>
        <v>0</v>
      </c>
      <c r="H203" s="19">
        <f>IF(G203="","",IF(G203&gt;=15,"Kritiek",IF(G203&gt;=8,"Hoog",IF(G203&gt;=4,"Middel","Laag"))))</f>
        <v>0</v>
      </c>
      <c r="I203" s="16"/>
      <c r="J203" s="17"/>
      <c r="K203" s="17"/>
      <c r="L203" s="18">
        <f>IF(AND(ISNUMBER(J203),ISNUMBER(K203)),J203*K203,"")</f>
        <v>0</v>
      </c>
      <c r="M203" s="19">
        <f>IF(L203="","",IF(L203&gt;=15,"Kritiek",IF(L203&gt;=8,"Hoog",IF(L203&gt;=4,"Middel","Laag"))))</f>
        <v>0</v>
      </c>
      <c r="N203" s="15"/>
      <c r="O203" s="20"/>
      <c r="P203" s="20"/>
      <c r="Q203" s="20"/>
    </row>
    <row r="204" spans="1:17" ht="18" customHeight="1">
      <c r="A204" s="21" t="s">
        <v>233</v>
      </c>
      <c r="B204" s="22"/>
      <c r="C204" s="22"/>
      <c r="D204" s="23"/>
      <c r="E204" s="24"/>
      <c r="F204" s="24"/>
      <c r="G204" s="25">
        <f>IF(AND(ISNUMBER(E204),ISNUMBER(F204)),E204*F204,"")</f>
        <v>0</v>
      </c>
      <c r="H204" s="26">
        <f>IF(G204="","",IF(G204&gt;=15,"Kritiek",IF(G204&gt;=8,"Hoog",IF(G204&gt;=4,"Middel","Laag"))))</f>
        <v>0</v>
      </c>
      <c r="I204" s="23"/>
      <c r="J204" s="24"/>
      <c r="K204" s="24"/>
      <c r="L204" s="25">
        <f>IF(AND(ISNUMBER(J204),ISNUMBER(K204)),J204*K204,"")</f>
        <v>0</v>
      </c>
      <c r="M204" s="26">
        <f>IF(L204="","",IF(L204&gt;=15,"Kritiek",IF(L204&gt;=8,"Hoog",IF(L204&gt;=4,"Middel","Laag"))))</f>
        <v>0</v>
      </c>
      <c r="N204" s="22"/>
      <c r="O204" s="27"/>
      <c r="P204" s="27"/>
      <c r="Q204" s="27"/>
    </row>
    <row r="205" spans="1:17" ht="20" customHeight="1">
      <c r="A205" s="28" t="s">
        <v>234</v>
      </c>
      <c r="B205" s="28"/>
      <c r="C205" s="28"/>
      <c r="D205" s="28"/>
      <c r="E205" s="29">
        <f>IFERROR(AVERAGEIF(E5:E204,"&gt;0",E5:E204),"-")</f>
        <v>0</v>
      </c>
      <c r="F205" s="29">
        <f>IFERROR(AVERAGEIF(F5:F204,"&gt;0",F5:F204),"-")</f>
        <v>0</v>
      </c>
      <c r="G205" s="29">
        <f>IFERROR(AVERAGEIF(G5:G204,"&gt;0",G5:G204),"-")</f>
        <v>0</v>
      </c>
      <c r="H205" s="30" t="s">
        <v>235</v>
      </c>
      <c r="I205" s="30"/>
      <c r="J205" s="30"/>
      <c r="K205" s="30"/>
      <c r="L205" s="30"/>
      <c r="M205" s="30"/>
      <c r="N205" s="30"/>
      <c r="O205" s="30"/>
      <c r="P205" s="30"/>
      <c r="Q205" s="30"/>
    </row>
    <row r="207" spans="1:17" ht="14" customHeight="1">
      <c r="A207" s="31" t="s">
        <v>236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</row>
  </sheetData>
  <sheetProtection sheet="1" objects="1" scenarios="1"/>
  <mergeCells count="12">
    <mergeCell ref="A1:M1"/>
    <mergeCell ref="N1:Q1"/>
    <mergeCell ref="A2:B2"/>
    <mergeCell ref="C2:F2"/>
    <mergeCell ref="G2:H2"/>
    <mergeCell ref="J2:K2"/>
    <mergeCell ref="L2:M2"/>
    <mergeCell ref="N2:O2"/>
    <mergeCell ref="P2:Q2"/>
    <mergeCell ref="A205:D205"/>
    <mergeCell ref="H205:Q205"/>
    <mergeCell ref="A207:Q207"/>
  </mergeCells>
  <conditionalFormatting sqref="G5:G204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H5:H204">
    <cfRule type="expression" dxfId="4" priority="5">
      <formula>AND(ISNUMBER(G5),G5&gt;=15)</formula>
    </cfRule>
    <cfRule type="expression" dxfId="5" priority="6">
      <formula>AND(ISNUMBER(G5),G5&gt;=8,G5&lt;15)</formula>
    </cfRule>
    <cfRule type="expression" dxfId="6" priority="7">
      <formula>AND(ISNUMBER(G5),G5&gt;=4,G5&lt;8)</formula>
    </cfRule>
    <cfRule type="expression" dxfId="7" priority="8">
      <formula>AND(ISNUMBER(G5),G5&gt;=1,G5&lt;4)</formula>
    </cfRule>
  </conditionalFormatting>
  <conditionalFormatting sqref="L5:L204">
    <cfRule type="cellIs" dxfId="0" priority="9" operator="greaterThanOrEqual">
      <formula>15</formula>
    </cfRule>
    <cfRule type="cellIs" dxfId="1" priority="10" operator="between">
      <formula>8</formula>
      <formula>14</formula>
    </cfRule>
    <cfRule type="cellIs" dxfId="2" priority="11" operator="between">
      <formula>4</formula>
      <formula>7</formula>
    </cfRule>
    <cfRule type="cellIs" dxfId="3" priority="12" operator="between">
      <formula>1</formula>
      <formula>3</formula>
    </cfRule>
  </conditionalFormatting>
  <conditionalFormatting sqref="M5:M204">
    <cfRule type="expression" dxfId="4" priority="13">
      <formula>AND(ISNUMBER(L5),L5&gt;=15)</formula>
    </cfRule>
    <cfRule type="expression" dxfId="5" priority="14">
      <formula>AND(ISNUMBER(L5),L5&gt;=8,L5&lt;15)</formula>
    </cfRule>
    <cfRule type="expression" dxfId="6" priority="15">
      <formula>AND(ISNUMBER(L5),L5&gt;=4,L5&lt;8)</formula>
    </cfRule>
    <cfRule type="expression" dxfId="7" priority="16">
      <formula>AND(ISNUMBER(L5),L5&gt;=1,L5&lt;4)</formula>
    </cfRule>
  </conditionalFormatting>
  <conditionalFormatting sqref="Q5:Q204">
    <cfRule type="containsText" dxfId="8" priority="17" operator="containsText" text="Open">
      <formula>NOT(ISERROR(SEARCH("Open",Q5)))</formula>
    </cfRule>
    <cfRule type="containsText" dxfId="9" priority="18" operator="containsText" text="In behandeling">
      <formula>NOT(ISERROR(SEARCH("In behandeling",Q5)))</formula>
    </cfRule>
    <cfRule type="containsText" dxfId="10" priority="19" operator="containsText" text="Afgerond">
      <formula>NOT(ISERROR(SEARCH("Afgerond",Q5)))</formula>
    </cfRule>
    <cfRule type="containsText" dxfId="11" priority="20" operator="containsText" text="Geaccepteerd">
      <formula>NOT(ISERROR(SEARCH("Geaccepteerd",Q5)))</formula>
    </cfRule>
  </conditionalFormatting>
  <dataValidations count="7">
    <dataValidation type="list" allowBlank="1" showInputMessage="1" showErrorMessage="1" sqref="B5:B204">
      <formula1>"Technisch,Organisatorisch,Leverancier,Fysiek,Juridisch,Continuïteit"</formula1>
    </dataValidation>
    <dataValidation type="list" allowBlank="1" showInputMessage="1" showErrorMessage="1" sqref="E5:E204">
      <formula1>"1,2,3,4,5"</formula1>
    </dataValidation>
    <dataValidation type="list" allowBlank="1" showInputMessage="1" showErrorMessage="1" sqref="F5:F204">
      <formula1>"1,2,3,4,5"</formula1>
    </dataValidation>
    <dataValidation type="list" allowBlank="1" showInputMessage="1" showErrorMessage="1" sqref="J5:J204">
      <formula1>"1,2,3,4,5"</formula1>
    </dataValidation>
    <dataValidation type="list" allowBlank="1" showInputMessage="1" showErrorMessage="1" sqref="K5:K204">
      <formula1>"1,2,3,4,5"</formula1>
    </dataValidation>
    <dataValidation type="list" allowBlank="1" showInputMessage="1" showErrorMessage="1" sqref="O5:O204">
      <formula1>"Behandelen,Accepteren,Overdragen,Vermijden"</formula1>
    </dataValidation>
    <dataValidation type="list" allowBlank="1" showInputMessage="1" showErrorMessage="1" sqref="Q5:Q204">
      <formula1>"Open,In behandeling,Afgerond,Geaccepteerd"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4.7109375" customWidth="1"/>
    <col min="2" max="2" width="28.7109375" customWidth="1"/>
    <col min="3" max="3" width="65.7109375" customWidth="1"/>
  </cols>
  <sheetData>
    <row r="1" spans="1:3" ht="40" customHeight="1">
      <c r="A1" s="1" t="s">
        <v>237</v>
      </c>
      <c r="B1" s="1"/>
      <c r="C1" s="1"/>
    </row>
    <row r="2" spans="1:3" ht="22" customHeight="1">
      <c r="A2" s="32" t="s">
        <v>238</v>
      </c>
      <c r="B2" s="32"/>
      <c r="C2" s="32"/>
    </row>
    <row r="4" spans="1:3" ht="20" customHeight="1">
      <c r="A4" s="33" t="s">
        <v>239</v>
      </c>
      <c r="B4" s="33"/>
      <c r="C4" s="33"/>
    </row>
    <row r="5" spans="1:3" ht="20" customHeight="1">
      <c r="A5" s="34"/>
      <c r="B5" s="35" t="s">
        <v>240</v>
      </c>
      <c r="C5" s="34" t="s">
        <v>241</v>
      </c>
    </row>
    <row r="6" spans="1:3" ht="20" customHeight="1">
      <c r="A6" s="36"/>
      <c r="B6" s="35" t="s">
        <v>242</v>
      </c>
      <c r="C6" s="36" t="s">
        <v>243</v>
      </c>
    </row>
    <row r="7" spans="1:3" ht="20" customHeight="1">
      <c r="A7" s="34"/>
      <c r="B7" s="35" t="s">
        <v>244</v>
      </c>
      <c r="C7" s="34" t="s">
        <v>245</v>
      </c>
    </row>
    <row r="8" spans="1:3" ht="20" customHeight="1">
      <c r="A8" s="36"/>
      <c r="B8" s="35" t="s">
        <v>246</v>
      </c>
      <c r="C8" s="36" t="s">
        <v>247</v>
      </c>
    </row>
    <row r="9" spans="1:3" ht="20" customHeight="1">
      <c r="A9" s="34"/>
      <c r="B9" s="35" t="s">
        <v>248</v>
      </c>
      <c r="C9" s="34" t="s">
        <v>249</v>
      </c>
    </row>
    <row r="10" spans="1:3" ht="20" customHeight="1">
      <c r="A10" s="36"/>
      <c r="B10" s="35" t="s">
        <v>250</v>
      </c>
      <c r="C10" s="36" t="s">
        <v>251</v>
      </c>
    </row>
    <row r="11" spans="1:3" ht="20" customHeight="1">
      <c r="A11" s="34"/>
      <c r="B11" s="35" t="s">
        <v>252</v>
      </c>
      <c r="C11" s="34" t="s">
        <v>253</v>
      </c>
    </row>
    <row r="12" spans="1:3" ht="20" customHeight="1">
      <c r="A12" s="36"/>
      <c r="B12" s="35" t="s">
        <v>254</v>
      </c>
      <c r="C12" s="36" t="s">
        <v>255</v>
      </c>
    </row>
    <row r="13" spans="1:3" ht="20" customHeight="1">
      <c r="A13" s="34"/>
      <c r="B13" s="35" t="s">
        <v>256</v>
      </c>
      <c r="C13" s="34" t="s">
        <v>257</v>
      </c>
    </row>
    <row r="14" spans="1:3" ht="20" customHeight="1">
      <c r="A14" s="33" t="s">
        <v>258</v>
      </c>
      <c r="B14" s="33"/>
      <c r="C14" s="33"/>
    </row>
    <row r="15" spans="1:3" ht="20" customHeight="1">
      <c r="A15" s="34"/>
      <c r="B15" s="35" t="s">
        <v>259</v>
      </c>
      <c r="C15" s="34" t="s">
        <v>260</v>
      </c>
    </row>
    <row r="16" spans="1:3" ht="20" customHeight="1">
      <c r="A16" s="36"/>
      <c r="B16" s="35" t="s">
        <v>261</v>
      </c>
      <c r="C16" s="36" t="s">
        <v>262</v>
      </c>
    </row>
    <row r="17" spans="1:3" ht="20" customHeight="1">
      <c r="A17" s="34"/>
      <c r="B17" s="35" t="s">
        <v>263</v>
      </c>
      <c r="C17" s="34" t="s">
        <v>264</v>
      </c>
    </row>
    <row r="18" spans="1:3" ht="20" customHeight="1">
      <c r="A18" s="36"/>
      <c r="B18" s="35" t="s">
        <v>265</v>
      </c>
      <c r="C18" s="36" t="s">
        <v>266</v>
      </c>
    </row>
    <row r="19" spans="1:3" ht="20" customHeight="1">
      <c r="A19" s="34"/>
      <c r="B19" s="35" t="s">
        <v>267</v>
      </c>
      <c r="C19" s="34" t="s">
        <v>268</v>
      </c>
    </row>
    <row r="20" spans="1:3" ht="20" customHeight="1">
      <c r="A20" s="33" t="s">
        <v>269</v>
      </c>
      <c r="B20" s="33"/>
      <c r="C20" s="33"/>
    </row>
    <row r="21" spans="1:3" ht="20" customHeight="1">
      <c r="A21" s="34"/>
      <c r="B21" s="35" t="s">
        <v>270</v>
      </c>
      <c r="C21" s="34" t="s">
        <v>271</v>
      </c>
    </row>
    <row r="22" spans="1:3" ht="20" customHeight="1">
      <c r="A22" s="36"/>
      <c r="B22" s="35" t="s">
        <v>272</v>
      </c>
      <c r="C22" s="36" t="s">
        <v>273</v>
      </c>
    </row>
    <row r="23" spans="1:3" ht="20" customHeight="1">
      <c r="A23" s="34"/>
      <c r="B23" s="35" t="s">
        <v>274</v>
      </c>
      <c r="C23" s="34" t="s">
        <v>275</v>
      </c>
    </row>
    <row r="25" spans="1:3">
      <c r="A25" s="31" t="s">
        <v>276</v>
      </c>
      <c r="B25" s="31"/>
      <c r="C25" s="31"/>
    </row>
  </sheetData>
  <sheetProtection sheet="1" objects="1" scenarios="1"/>
  <mergeCells count="6">
    <mergeCell ref="A1:C1"/>
    <mergeCell ref="A2:C2"/>
    <mergeCell ref="A4:C4"/>
    <mergeCell ref="A14:C14"/>
    <mergeCell ref="A20:C20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Risicoregister</vt:lpstr>
      <vt:lpstr>Instructies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2026-06-06T20:38:32Z</dcterms:created>
  <dcterms:modified xsi:type="dcterms:W3CDTF">2026-06-06T20:38:32Z</dcterms:modified>
</cp:coreProperties>
</file>