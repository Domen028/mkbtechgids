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tenlog" sheetId="1" r:id="rId1"/>
    <sheet name="NCSC Meldingen" sheetId="2" r:id="rId2"/>
    <sheet name="Instructies" sheetId="3" r:id="rId3"/>
  </sheets>
  <calcPr calcId="124519" fullCalcOnLoad="1"/>
</workbook>
</file>

<file path=xl/sharedStrings.xml><?xml version="1.0" encoding="utf-8"?>
<sst xmlns="http://schemas.openxmlformats.org/spreadsheetml/2006/main" count="244" uniqueCount="241">
  <si>
    <t>NIS2 INCIDENTENLOG — Beveiligingsincidenten &amp; Meldingen</t>
  </si>
  <si>
    <t>Register 4  ·  NIS2 Art. 21(2)(b) + Art. 23  ·  ISO 27001 A.5.24</t>
  </si>
  <si>
    <t>Bedrijf:</t>
  </si>
  <si>
    <t>{{BEDRIJFSNAAM}}</t>
  </si>
  <si>
    <t>Incidenteigenaar:</t>
  </si>
  <si>
    <t>{{NAAM CISO}}</t>
  </si>
  <si>
    <t>Datum:</t>
  </si>
  <si>
    <t>{{DATUM}}</t>
  </si>
  <si>
    <t>Versie:</t>
  </si>
  <si>
    <t>1.0</t>
  </si>
  <si>
    <t>Totaal:</t>
  </si>
  <si>
    <t>Krit./Hoog:</t>
  </si>
  <si>
    <t>NCSC gemeld:</t>
  </si>
  <si>
    <t>Open:</t>
  </si>
  <si>
    <t>Gem. MTTR:</t>
  </si>
  <si>
    <t>⚠️ NIS2 Art. 23: Kritiek/Hoog incident → NCSC Early warning BINNEN 24 UUR!</t>
  </si>
  <si>
    <t>ID</t>
  </si>
  <si>
    <t>Datum</t>
  </si>
  <si>
    <t>Tijdstip</t>
  </si>
  <si>
    <t>Type incident</t>
  </si>
  <si>
    <t>Ernst</t>
  </si>
  <si>
    <t>Beschrijving</t>
  </si>
  <si>
    <t>Getroffen
systemen</t>
  </si>
  <si>
    <t>Oorzaak</t>
  </si>
  <si>
    <t>Impact</t>
  </si>
  <si>
    <t>Genomen
maatregelen</t>
  </si>
  <si>
    <t>NCSC
gemeld</t>
  </si>
  <si>
    <t>Datum
NCRC melding</t>
  </si>
  <si>
    <t>Status</t>
  </si>
  <si>
    <t>Datum
afgerond</t>
  </si>
  <si>
    <t>MTTR
(dagen)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</si>
  <si>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</si>
  <si>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</si>
  <si>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</si>
  <si>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</si>
  <si>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</si>
  <si>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</si>
  <si>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</si>
  <si>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</si>
  <si>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</si>
  <si>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</si>
  <si>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</si>
  <si>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</si>
  <si>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</si>
  <si>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</si>
  <si>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</si>
  <si>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</si>
  <si>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</si>
  <si>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</si>
  <si>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</si>
  <si>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</si>
  <si>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</si>
  <si>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</si>
  <si>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</si>
  <si>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</si>
  <si>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</si>
  <si>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</si>
  <si>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</si>
  <si>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</si>
  <si>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</si>
  <si>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</si>
  <si>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</si>
  <si>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</si>
  <si>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</si>
  <si>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</si>
  <si>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</si>
  <si>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</si>
  <si>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</si>
  <si>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</si>
  <si>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</si>
  <si>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</si>
  <si>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</si>
  <si>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</si>
  <si>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</si>
  <si>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</si>
  <si>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</si>
  <si>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</si>
  <si>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</si>
  <si>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</si>
  <si>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</si>
  <si>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</si>
  <si>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</si>
  <si>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</si>
  <si>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</si>
  <si>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</si>
  <si>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</si>
  <si>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</si>
  <si>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</si>
  <si>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</si>
  <si>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</si>
  <si>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</si>
  <si>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</si>
  <si>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</si>
  <si>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</si>
  <si>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</si>
  <si>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</si>
  <si>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</si>
  <si>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</si>
  <si>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</si>
  <si>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</si>
  <si>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</si>
  <si>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</si>
  <si>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</si>
  <si>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</si>
  <si>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</si>
  <si>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</si>
  <si>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I076</t>
  </si>
  <si>
    <t>I077</t>
  </si>
  <si>
    <t>I078</t>
  </si>
  <si>
    <t>I079</t>
  </si>
  <si>
    <t>I080</t>
  </si>
  <si>
    <t>I081</t>
  </si>
  <si>
    <t>I082</t>
  </si>
  <si>
    <t>I083</t>
  </si>
  <si>
    <t>I084</t>
  </si>
  <si>
    <t>I085</t>
  </si>
  <si>
    <t>I086</t>
  </si>
  <si>
    <t>I087</t>
  </si>
  <si>
    <t>I088</t>
  </si>
  <si>
    <t>I089</t>
  </si>
  <si>
    <t>I090</t>
  </si>
  <si>
    <t>I091</t>
  </si>
  <si>
    <t>I092</t>
  </si>
  <si>
    <t>I093</t>
  </si>
  <si>
    <t>I094</t>
  </si>
  <si>
    <t>I095</t>
  </si>
  <si>
    <t>I096</t>
  </si>
  <si>
    <t>I097</t>
  </si>
  <si>
    <t>I098</t>
  </si>
  <si>
    <t>I099</t>
  </si>
  <si>
    <t>I100</t>
  </si>
  <si>
    <t>NCSC MELDREGISTRATIE — Art. 23 Cyberbeveiligingswet</t>
  </si>
  <si>
    <t>Early warning ≤24u · Incidentmelding ≤72u · Eindrapport ≤30d na incident</t>
  </si>
  <si>
    <t>Datum
incident</t>
  </si>
  <si>
    <t>Type
melding</t>
  </si>
  <si>
    <t>Inhoud melding</t>
  </si>
  <si>
    <t>Referentie
NCRC</t>
  </si>
  <si>
    <t>Datum
verzonden</t>
  </si>
  <si>
    <t>Inhoud / samenvatting</t>
  </si>
  <si>
    <t>Status
melding</t>
  </si>
  <si>
    <t>Eindrapport
datum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</si>
  <si>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</si>
  <si>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</si>
  <si>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</si>
  <si>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</si>
  <si>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</si>
  <si>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</si>
  <si>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</si>
  <si>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</si>
  <si>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</si>
  <si>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</si>
  <si>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</si>
  <si>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</si>
  <si>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</si>
  <si>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</si>
  <si>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</si>
  <si>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</si>
  <si>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</si>
  <si>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</si>
  <si>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</si>
  <si>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</si>
  <si>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</si>
  <si>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</si>
  <si>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</si>
  <si>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</si>
  <si>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</si>
  <si>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</si>
  <si>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</si>
  <si>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</si>
  <si>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</si>
  <si>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</si>
  <si>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</si>
  <si>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</si>
  <si>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</si>
  <si>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</si>
  <si>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</si>
  <si>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</si>
  <si>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</si>
  <si>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</si>
  <si>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</si>
  <si>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</si>
  <si>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</si>
  <si>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</si>
  <si>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</si>
  <si>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</si>
  <si>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</si>
  <si>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</si>
  <si>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</si>
  <si>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</si>
  <si>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</si>
  <si>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</si>
  <si>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MKBTechGids  ·  NIS2 Compliance Toolkit v1.0  ·  KVK 27348456  ·  BTW NL004968309B61  ·  mkbtechgids.nl</t>
  </si>
  <si>
    <t>INSTRUCTIES — NIS2 Incidentenlog v2</t>
  </si>
  <si>
    <t>NIS2 Art. 21(2)(b) + Art. 23 · Cyberbeveiligingswet · ISO 27001 A.5.24 · Meldplicht NCSC: 24u/72u/30d</t>
  </si>
  <si>
    <t>STAP-VOOR-STAP</t>
  </si>
  <si>
    <t>Stap 1</t>
  </si>
  <si>
    <t>Vul elk beveiligingsincident in zodra het gedetecteerd wordt.</t>
  </si>
  <si>
    <t>Stap 2</t>
  </si>
  <si>
    <t>Ernst bepalen: Kritiek/Hoog triggeren Art. 23 meldplicht NCSC.</t>
  </si>
  <si>
    <t>Stap 3</t>
  </si>
  <si>
    <t>Early warning bij NCSC: BINNEN 24 UUR na ontdekking Kritiek/Hoog incident.</t>
  </si>
  <si>
    <t>Stap 4</t>
  </si>
  <si>
    <t>Incidentmelding: BINNEN 72 UUR — volledigere informatie + initiële analyse.</t>
  </si>
  <si>
    <t>Stap 5</t>
  </si>
  <si>
    <t>Eindrapport: BINNEN 30 DAGEN — root cause, impact, geleerde lessen, preventie.</t>
  </si>
  <si>
    <t>Stap 6</t>
  </si>
  <si>
    <t>Documenteer alle NCSC-meldingen in tab "NCSC Meldingen" (audittrail).</t>
  </si>
  <si>
    <t>Stap 7</t>
  </si>
  <si>
    <t>MTTR = Datum afgerond minus Datum incident — berekent automatisch in dagen.</t>
  </si>
  <si>
    <t>DREMPEL VOOR ART. 23 NCSC MELDING</t>
  </si>
  <si>
    <t>Meldplichtig</t>
  </si>
  <si>
    <t>Ernst Kritiek of Hoog + impact op primaire NIS2-dienst → meld bij NCSC</t>
  </si>
  <si>
    <t>Niet meldplichtig</t>
  </si>
  <si>
    <t>Ernst Middel/Laag of uitsluitend interne impact → intern afhandelen + loggen</t>
  </si>
  <si>
    <t>Twijfel?</t>
  </si>
  <si>
    <t>CISO + Directie beoordelen → liever te vroeg melden dan te laat</t>
  </si>
  <si>
    <t>KLEURCODERING — AUTOMATISCH NA INVULLEN</t>
  </si>
  <si>
    <t>🔴 Ernst Kritiek</t>
  </si>
  <si>
    <t>Cel rood — NCSC melding verplicht, directe escalatie naar directie</t>
  </si>
  <si>
    <t>🟠 Ernst Hoog</t>
  </si>
  <si>
    <t>Cel oranje — NCSC melding beoordelen, behandelplan &lt;24u</t>
  </si>
  <si>
    <t>🟢 Ernst Middel</t>
  </si>
  <si>
    <t>Cel groen — intern afhandelen, documenteer afdoende</t>
  </si>
  <si>
    <t>⚪ Ernst Laag</t>
  </si>
  <si>
    <t>Cel grijs — intern loggen, accepteren of behandelen</t>
  </si>
  <si>
    <t>🟠 NCSC Ja (gemeld)</t>
  </si>
  <si>
    <t>Cel oranje — melding geregistreerd, bewaar bevestiging</t>
  </si>
  <si>
    <t>🔴 Status Open</t>
  </si>
  <si>
    <t>Cel rood — actie vereist</t>
  </si>
  <si>
    <t>🔴 MTTR &gt;3 dagen</t>
  </si>
  <si>
    <t>Cel rood — responstijd overschreden, eskalatie aanbevolen</t>
  </si>
  <si>
    <t>COMPLIANCE</t>
  </si>
  <si>
    <t>NIS2 Art. 21(2)(b)</t>
  </si>
  <si>
    <t>Incidentafhandeling — dit register is verplicht bewijs van respons-procedure</t>
  </si>
  <si>
    <t>NIS2 Art. 23</t>
  </si>
  <si>
    <t>Meldplicht significante incidenten: 24u/72u/30d — NCSC tab is bewijs van melding</t>
  </si>
  <si>
    <t>Cyberbeveiligingswet</t>
  </si>
  <si>
    <t>Nederlandse omzettingswet NIS2 — incidentlog is aantoonbaar bewijs van implementatie</t>
  </si>
  <si>
    <t>ISO 27001 A.5.24</t>
  </si>
  <si>
    <t>Incidentrespons planning en -uitvoering — dit register dekt de control volledig</t>
  </si>
  <si>
    <t>Onderdeel van de MKBTechGids NIS2 Compliance Toolkit (Complete Toolkit €249) · mkbtechgids.nl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</si>
</sst>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0.0"/>
  </numFmts>
  <fonts count="20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9"/>
      <color rgb="FF713F12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0"/>
      <color rgb="FFD97706"/>
      <name val="Calibri"/>
      <family val="2"/>
      <scheme val="minor"/>
    </font>
    <font>
      <b/>
      <i/>
      <sz val="9"/>
      <color rgb="FFDC2626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sz val="9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i/>
      <sz val="10"/>
      <color rgb="FFDC2626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C1C2E"/>
      <name val="Calibri"/>
      <family val="2"/>
      <scheme val="minor"/>
    </font>
    <font>
      <i/>
      <sz val="9"/>
      <color rgb="FF37415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9FAFB"/>
        <bgColor indexed="6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4" borderId="0" xfId="0" applyFill="1"/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left" vertical="center" wrapText="1"/>
      <protection locked="0"/>
    </xf>
    <xf numFmtId="165" fontId="14" fillId="8" borderId="2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 applyProtection="1">
      <alignment horizontal="center" vertical="center"/>
      <protection locked="0"/>
    </xf>
    <xf numFmtId="0" fontId="14" fillId="9" borderId="1" xfId="0" applyFont="1" applyFill="1" applyBorder="1" applyAlignment="1" applyProtection="1">
      <alignment horizontal="center" vertical="center"/>
      <protection locked="0"/>
    </xf>
    <xf numFmtId="0" fontId="14" fillId="9" borderId="1" xfId="0" applyFont="1" applyFill="1" applyBorder="1" applyAlignment="1" applyProtection="1">
      <alignment horizontal="left" vertical="center" wrapText="1"/>
      <protection locked="0"/>
    </xf>
    <xf numFmtId="0" fontId="2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4" fillId="9" borderId="1" xfId="0" applyFont="1" applyFill="1" applyBorder="1" applyAlignment="1" applyProtection="1">
      <alignment horizontal="left" vertical="center"/>
      <protection locked="0"/>
    </xf>
    <xf numFmtId="0" fontId="14" fillId="7" borderId="1" xfId="0" applyFont="1" applyFill="1" applyBorder="1" applyAlignment="1" applyProtection="1">
      <alignment horizontal="left" vertical="center"/>
      <protection locked="0"/>
    </xf>
    <xf numFmtId="0" fontId="16" fillId="4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 wrapText="1"/>
    </xf>
    <xf numFmtId="0" fontId="19" fillId="8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color rgb="FFDC2626"/>
      </font>
      <fill>
        <patternFill>
          <bgColor rgb="FFFEF2F2"/>
        </patternFill>
      </fill>
    </dxf>
    <dxf>
      <font>
        <b/>
        <color rgb="FFD97706"/>
      </font>
      <fill>
        <patternFill>
          <bgColor rgb="FFFFFBEB"/>
        </patternFill>
      </fill>
    </dxf>
    <dxf>
      <font>
        <b/>
        <color rgb="FF15803D"/>
      </font>
      <fill>
        <patternFill>
          <bgColor rgb="FFF0FDF4"/>
        </patternFill>
      </fill>
    </dxf>
    <dxf>
      <font>
        <b/>
        <color rgb="FF6B7280"/>
      </font>
      <fill>
        <patternFill>
          <bgColor rgb="FFF9FAFB"/>
        </patternFill>
      </fill>
    </dxf>
    <dxf>
      <font>
        <b/>
        <color rgb="FFDC2626"/>
      </font>
      <fill>
        <patternFill>
          <bgColor rgb="FFFEF2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6"/>
  <sheetViews>
    <sheetView tabSelected="1" zoomScale="80" zoomScaleNormal="8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1.7109375" customWidth="1"/>
    <col min="3" max="3" width="8.7109375" customWidth="1"/>
    <col min="4" max="4" width="16.7109375" customWidth="1"/>
    <col min="5" max="5" width="10.7109375" customWidth="1"/>
    <col min="6" max="6" width="28.7109375" customWidth="1"/>
    <col min="7" max="7" width="22.7109375" customWidth="1"/>
    <col min="8" max="10" width="20.7109375" customWidth="1"/>
    <col min="11" max="11" width="10.7109375" customWidth="1"/>
    <col min="12" max="12" width="11.7109375" customWidth="1"/>
    <col min="13" max="13" width="10.7109375" customWidth="1"/>
    <col min="14" max="14" width="14.7109375" customWidth="1"/>
    <col min="15" max="15" width="12.7109375" customWidth="1"/>
  </cols>
  <sheetData>
    <row r="1" spans="1:15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2"/>
      <c r="N1" s="2"/>
      <c r="O1" s="2"/>
    </row>
    <row r="2" spans="1:15" ht="22" customHeight="1">
      <c r="A2" s="3" t="s">
        <v>2</v>
      </c>
      <c r="B2" s="3"/>
      <c r="C2" s="4" t="s">
        <v>3</v>
      </c>
      <c r="D2" s="4"/>
      <c r="E2" s="4"/>
      <c r="F2" s="4"/>
      <c r="G2" s="5" t="s">
        <v>4</v>
      </c>
      <c r="H2" s="4" t="s">
        <v>5</v>
      </c>
      <c r="I2" s="4"/>
      <c r="J2" s="4"/>
      <c r="K2" s="5" t="s">
        <v>6</v>
      </c>
      <c r="L2" s="4" t="s">
        <v>7</v>
      </c>
      <c r="M2" s="5" t="s">
        <v>8</v>
      </c>
      <c r="N2" s="6" t="s">
        <v>9</v>
      </c>
      <c r="O2" s="7"/>
    </row>
    <row r="3" spans="1:15" ht="20" customHeight="1">
      <c r="A3" s="8" t="s">
        <v>10</v>
      </c>
      <c r="B3" s="6">
        <f>COUNTA(B5:B104)</f>
        <v>0</v>
      </c>
      <c r="C3" s="8" t="s">
        <v>11</v>
      </c>
      <c r="D3" s="9">
        <f>COUNTIFS(E5:E104,"Kritiek")+COUNTIFS(E5:E104,"Hoog")</f>
        <v>0</v>
      </c>
      <c r="E3" s="8" t="s">
        <v>12</v>
      </c>
      <c r="F3" s="10">
        <f>COUNTIF(K5:K104,"Ja*")</f>
        <v>0</v>
      </c>
      <c r="G3" s="8" t="s">
        <v>13</v>
      </c>
      <c r="H3" s="9">
        <f>COUNTIF(N5:N104,"Open")</f>
        <v>0</v>
      </c>
      <c r="I3" s="8" t="s">
        <v>14</v>
      </c>
      <c r="J3" s="6">
        <f>IFERROR(AVERAGEIF(O5:O104,"&gt;0",O5:O104),"-")</f>
        <v>0</v>
      </c>
      <c r="K3" s="11" t="s">
        <v>15</v>
      </c>
      <c r="L3" s="11"/>
      <c r="M3" s="11"/>
      <c r="N3" s="11"/>
      <c r="O3" s="11"/>
    </row>
    <row r="4" spans="1:15" ht="40" customHeight="1">
      <c r="A4" s="12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2" t="s">
        <v>23</v>
      </c>
      <c r="I4" s="12" t="s">
        <v>24</v>
      </c>
      <c r="J4" s="12" t="s">
        <v>25</v>
      </c>
      <c r="K4" s="12" t="s">
        <v>26</v>
      </c>
      <c r="L4" s="12" t="s">
        <v>27</v>
      </c>
      <c r="M4" s="12" t="s">
        <v>28</v>
      </c>
      <c r="N4" s="12" t="s">
        <v>29</v>
      </c>
      <c r="O4" s="12" t="s">
        <v>30</v>
      </c>
    </row>
    <row r="5" spans="1:15" ht="20" customHeight="1">
      <c r="A5" s="13" t="s">
        <v>31</v>
      </c>
      <c r="B5" s="14"/>
      <c r="C5" s="15"/>
      <c r="D5" s="15"/>
      <c r="E5" s="15"/>
      <c r="F5" s="16"/>
      <c r="G5" s="16"/>
      <c r="H5" s="16"/>
      <c r="I5" s="16"/>
      <c r="J5" s="16"/>
      <c r="K5" s="15"/>
      <c r="L5" s="14"/>
      <c r="M5" s="15"/>
      <c r="N5" s="14"/>
      <c r="O5" s="17">
        <f>IF(AND(ISNUMBER(B5),ISNUMBER(N5)),N5-B5,"")</f>
        <v>0</v>
      </c>
    </row>
    <row r="6" spans="1:15" ht="20" customHeight="1">
      <c r="A6" s="18" t="s">
        <v>32</v>
      </c>
      <c r="B6" s="19"/>
      <c r="C6" s="20"/>
      <c r="D6" s="20"/>
      <c r="E6" s="20"/>
      <c r="F6" s="21"/>
      <c r="G6" s="21"/>
      <c r="H6" s="21"/>
      <c r="I6" s="21"/>
      <c r="J6" s="21"/>
      <c r="K6" s="20"/>
      <c r="L6" s="19"/>
      <c r="M6" s="20"/>
      <c r="N6" s="19"/>
      <c r="O6" s="17">
        <f>IF(AND(ISNUMBER(B6),ISNUMBER(N6)),N6-B6,"")</f>
        <v>0</v>
      </c>
    </row>
    <row r="7" spans="1:15" ht="20" customHeight="1">
      <c r="A7" s="13" t="s">
        <v>33</v>
      </c>
      <c r="B7" s="14"/>
      <c r="C7" s="15"/>
      <c r="D7" s="15"/>
      <c r="E7" s="15"/>
      <c r="F7" s="16"/>
      <c r="G7" s="16"/>
      <c r="H7" s="16"/>
      <c r="I7" s="16"/>
      <c r="J7" s="16"/>
      <c r="K7" s="15"/>
      <c r="L7" s="14"/>
      <c r="M7" s="15"/>
      <c r="N7" s="14"/>
      <c r="O7" s="17">
        <f>IF(AND(ISNUMBER(B7),ISNUMBER(N7)),N7-B7,"")</f>
        <v>0</v>
      </c>
    </row>
    <row r="8" spans="1:15" ht="20" customHeight="1">
      <c r="A8" s="18" t="s">
        <v>34</v>
      </c>
      <c r="B8" s="19"/>
      <c r="C8" s="20"/>
      <c r="D8" s="20"/>
      <c r="E8" s="20"/>
      <c r="F8" s="21"/>
      <c r="G8" s="21"/>
      <c r="H8" s="21"/>
      <c r="I8" s="21"/>
      <c r="J8" s="21"/>
      <c r="K8" s="20"/>
      <c r="L8" s="19"/>
      <c r="M8" s="20"/>
      <c r="N8" s="19"/>
      <c r="O8" s="17">
        <f>IF(AND(ISNUMBER(B8),ISNUMBER(N8)),N8-B8,"")</f>
        <v>0</v>
      </c>
    </row>
    <row r="9" spans="1:15" ht="20" customHeight="1">
      <c r="A9" s="13" t="s">
        <v>35</v>
      </c>
      <c r="B9" s="14"/>
      <c r="C9" s="15"/>
      <c r="D9" s="15"/>
      <c r="E9" s="15"/>
      <c r="F9" s="16"/>
      <c r="G9" s="16"/>
      <c r="H9" s="16"/>
      <c r="I9" s="16"/>
      <c r="J9" s="16"/>
      <c r="K9" s="15"/>
      <c r="L9" s="14"/>
      <c r="M9" s="15"/>
      <c r="N9" s="14"/>
      <c r="O9" s="17">
        <f>IF(AND(ISNUMBER(B9),ISNUMBER(N9)),N9-B9,"")</f>
        <v>0</v>
      </c>
    </row>
    <row r="10" spans="1:15" ht="20" customHeight="1">
      <c r="A10" s="18" t="s">
        <v>36</v>
      </c>
      <c r="B10" s="19"/>
      <c r="C10" s="20"/>
      <c r="D10" s="20"/>
      <c r="E10" s="20"/>
      <c r="F10" s="21"/>
      <c r="G10" s="21"/>
      <c r="H10" s="21"/>
      <c r="I10" s="21"/>
      <c r="J10" s="21"/>
      <c r="K10" s="20"/>
      <c r="L10" s="19"/>
      <c r="M10" s="20"/>
      <c r="N10" s="19"/>
      <c r="O10" s="17">
        <f>IF(AND(ISNUMBER(B10),ISNUMBER(N10)),N10-B10,"")</f>
        <v>0</v>
      </c>
    </row>
    <row r="11" spans="1:15" ht="20" customHeight="1">
      <c r="A11" s="13" t="s">
        <v>37</v>
      </c>
      <c r="B11" s="14"/>
      <c r="C11" s="15"/>
      <c r="D11" s="15"/>
      <c r="E11" s="15"/>
      <c r="F11" s="16"/>
      <c r="G11" s="16"/>
      <c r="H11" s="16"/>
      <c r="I11" s="16"/>
      <c r="J11" s="16"/>
      <c r="K11" s="15"/>
      <c r="L11" s="14"/>
      <c r="M11" s="15"/>
      <c r="N11" s="14"/>
      <c r="O11" s="17">
        <f>IF(AND(ISNUMBER(B11),ISNUMBER(N11)),N11-B11,"")</f>
        <v>0</v>
      </c>
    </row>
    <row r="12" spans="1:15" ht="20" customHeight="1">
      <c r="A12" s="18" t="s">
        <v>38</v>
      </c>
      <c r="B12" s="19"/>
      <c r="C12" s="20"/>
      <c r="D12" s="20"/>
      <c r="E12" s="20"/>
      <c r="F12" s="21"/>
      <c r="G12" s="21"/>
      <c r="H12" s="21"/>
      <c r="I12" s="21"/>
      <c r="J12" s="21"/>
      <c r="K12" s="20"/>
      <c r="L12" s="19"/>
      <c r="M12" s="20"/>
      <c r="N12" s="19"/>
      <c r="O12" s="17">
        <f>IF(AND(ISNUMBER(B12),ISNUMBER(N12)),N12-B12,"")</f>
        <v>0</v>
      </c>
    </row>
    <row r="13" spans="1:15" ht="20" customHeight="1">
      <c r="A13" s="13" t="s">
        <v>39</v>
      </c>
      <c r="B13" s="14"/>
      <c r="C13" s="15"/>
      <c r="D13" s="15"/>
      <c r="E13" s="15"/>
      <c r="F13" s="16"/>
      <c r="G13" s="16"/>
      <c r="H13" s="16"/>
      <c r="I13" s="16"/>
      <c r="J13" s="16"/>
      <c r="K13" s="15"/>
      <c r="L13" s="14"/>
      <c r="M13" s="15"/>
      <c r="N13" s="14"/>
      <c r="O13" s="17">
        <f>IF(AND(ISNUMBER(B13),ISNUMBER(N13)),N13-B13,"")</f>
        <v>0</v>
      </c>
    </row>
    <row r="14" spans="1:15" ht="20" customHeight="1">
      <c r="A14" s="18" t="s">
        <v>40</v>
      </c>
      <c r="B14" s="19"/>
      <c r="C14" s="20"/>
      <c r="D14" s="20"/>
      <c r="E14" s="20"/>
      <c r="F14" s="21"/>
      <c r="G14" s="21"/>
      <c r="H14" s="21"/>
      <c r="I14" s="21"/>
      <c r="J14" s="21"/>
      <c r="K14" s="20"/>
      <c r="L14" s="19"/>
      <c r="M14" s="20"/>
      <c r="N14" s="19"/>
      <c r="O14" s="17">
        <f>IF(AND(ISNUMBER(B14),ISNUMBER(N14)),N14-B14,"")</f>
        <v>0</v>
      </c>
    </row>
    <row r="15" spans="1:15" ht="20" customHeight="1">
      <c r="A15" s="13" t="s">
        <v>41</v>
      </c>
      <c r="B15" s="14"/>
      <c r="C15" s="15"/>
      <c r="D15" s="15"/>
      <c r="E15" s="15"/>
      <c r="F15" s="16"/>
      <c r="G15" s="16"/>
      <c r="H15" s="16"/>
      <c r="I15" s="16"/>
      <c r="J15" s="16"/>
      <c r="K15" s="15"/>
      <c r="L15" s="14"/>
      <c r="M15" s="15"/>
      <c r="N15" s="14"/>
      <c r="O15" s="17">
        <f>IF(AND(ISNUMBER(B15),ISNUMBER(N15)),N15-B15,"")</f>
        <v>0</v>
      </c>
    </row>
    <row r="16" spans="1:15" ht="20" customHeight="1">
      <c r="A16" s="18" t="s">
        <v>42</v>
      </c>
      <c r="B16" s="19"/>
      <c r="C16" s="20"/>
      <c r="D16" s="20"/>
      <c r="E16" s="20"/>
      <c r="F16" s="21"/>
      <c r="G16" s="21"/>
      <c r="H16" s="21"/>
      <c r="I16" s="21"/>
      <c r="J16" s="21"/>
      <c r="K16" s="20"/>
      <c r="L16" s="19"/>
      <c r="M16" s="20"/>
      <c r="N16" s="19"/>
      <c r="O16" s="17">
        <f>IF(AND(ISNUMBER(B16),ISNUMBER(N16)),N16-B16,"")</f>
        <v>0</v>
      </c>
    </row>
    <row r="17" spans="1:15" ht="20" customHeight="1">
      <c r="A17" s="13" t="s">
        <v>43</v>
      </c>
      <c r="B17" s="14"/>
      <c r="C17" s="15"/>
      <c r="D17" s="15"/>
      <c r="E17" s="15"/>
      <c r="F17" s="16"/>
      <c r="G17" s="16"/>
      <c r="H17" s="16"/>
      <c r="I17" s="16"/>
      <c r="J17" s="16"/>
      <c r="K17" s="15"/>
      <c r="L17" s="14"/>
      <c r="M17" s="15"/>
      <c r="N17" s="14"/>
      <c r="O17" s="17">
        <f>IF(AND(ISNUMBER(B17),ISNUMBER(N17)),N17-B17,"")</f>
        <v>0</v>
      </c>
    </row>
    <row r="18" spans="1:15" ht="20" customHeight="1">
      <c r="A18" s="18" t="s">
        <v>44</v>
      </c>
      <c r="B18" s="19"/>
      <c r="C18" s="20"/>
      <c r="D18" s="20"/>
      <c r="E18" s="20"/>
      <c r="F18" s="21"/>
      <c r="G18" s="21"/>
      <c r="H18" s="21"/>
      <c r="I18" s="21"/>
      <c r="J18" s="21"/>
      <c r="K18" s="20"/>
      <c r="L18" s="19"/>
      <c r="M18" s="20"/>
      <c r="N18" s="19"/>
      <c r="O18" s="17">
        <f>IF(AND(ISNUMBER(B18),ISNUMBER(N18)),N18-B18,"")</f>
        <v>0</v>
      </c>
    </row>
    <row r="19" spans="1:15" ht="20" customHeight="1">
      <c r="A19" s="13" t="s">
        <v>45</v>
      </c>
      <c r="B19" s="14"/>
      <c r="C19" s="15"/>
      <c r="D19" s="15"/>
      <c r="E19" s="15"/>
      <c r="F19" s="16"/>
      <c r="G19" s="16"/>
      <c r="H19" s="16"/>
      <c r="I19" s="16"/>
      <c r="J19" s="16"/>
      <c r="K19" s="15"/>
      <c r="L19" s="14"/>
      <c r="M19" s="15"/>
      <c r="N19" s="14"/>
      <c r="O19" s="17">
        <f>IF(AND(ISNUMBER(B19),ISNUMBER(N19)),N19-B19,"")</f>
        <v>0</v>
      </c>
    </row>
    <row r="20" spans="1:15" ht="20" customHeight="1">
      <c r="A20" s="18" t="s">
        <v>46</v>
      </c>
      <c r="B20" s="19"/>
      <c r="C20" s="20"/>
      <c r="D20" s="20"/>
      <c r="E20" s="20"/>
      <c r="F20" s="21"/>
      <c r="G20" s="21"/>
      <c r="H20" s="21"/>
      <c r="I20" s="21"/>
      <c r="J20" s="21"/>
      <c r="K20" s="20"/>
      <c r="L20" s="19"/>
      <c r="M20" s="20"/>
      <c r="N20" s="19"/>
      <c r="O20" s="17">
        <f>IF(AND(ISNUMBER(B20),ISNUMBER(N20)),N20-B20,"")</f>
        <v>0</v>
      </c>
    </row>
    <row r="21" spans="1:15" ht="20" customHeight="1">
      <c r="A21" s="13" t="s">
        <v>47</v>
      </c>
      <c r="B21" s="14"/>
      <c r="C21" s="15"/>
      <c r="D21" s="15"/>
      <c r="E21" s="15"/>
      <c r="F21" s="16"/>
      <c r="G21" s="16"/>
      <c r="H21" s="16"/>
      <c r="I21" s="16"/>
      <c r="J21" s="16"/>
      <c r="K21" s="15"/>
      <c r="L21" s="14"/>
      <c r="M21" s="15"/>
      <c r="N21" s="14"/>
      <c r="O21" s="17">
        <f>IF(AND(ISNUMBER(B21),ISNUMBER(N21)),N21-B21,"")</f>
        <v>0</v>
      </c>
    </row>
    <row r="22" spans="1:15" ht="20" customHeight="1">
      <c r="A22" s="18" t="s">
        <v>48</v>
      </c>
      <c r="B22" s="19"/>
      <c r="C22" s="20"/>
      <c r="D22" s="20"/>
      <c r="E22" s="20"/>
      <c r="F22" s="21"/>
      <c r="G22" s="21"/>
      <c r="H22" s="21"/>
      <c r="I22" s="21"/>
      <c r="J22" s="21"/>
      <c r="K22" s="20"/>
      <c r="L22" s="19"/>
      <c r="M22" s="20"/>
      <c r="N22" s="19"/>
      <c r="O22" s="17">
        <f>IF(AND(ISNUMBER(B22),ISNUMBER(N22)),N22-B22,"")</f>
        <v>0</v>
      </c>
    </row>
    <row r="23" spans="1:15" ht="20" customHeight="1">
      <c r="A23" s="13" t="s">
        <v>49</v>
      </c>
      <c r="B23" s="14"/>
      <c r="C23" s="15"/>
      <c r="D23" s="15"/>
      <c r="E23" s="15"/>
      <c r="F23" s="16"/>
      <c r="G23" s="16"/>
      <c r="H23" s="16"/>
      <c r="I23" s="16"/>
      <c r="J23" s="16"/>
      <c r="K23" s="15"/>
      <c r="L23" s="14"/>
      <c r="M23" s="15"/>
      <c r="N23" s="14"/>
      <c r="O23" s="17">
        <f>IF(AND(ISNUMBER(B23),ISNUMBER(N23)),N23-B23,"")</f>
        <v>0</v>
      </c>
    </row>
    <row r="24" spans="1:15" ht="20" customHeight="1">
      <c r="A24" s="18" t="s">
        <v>50</v>
      </c>
      <c r="B24" s="19"/>
      <c r="C24" s="20"/>
      <c r="D24" s="20"/>
      <c r="E24" s="20"/>
      <c r="F24" s="21"/>
      <c r="G24" s="21"/>
      <c r="H24" s="21"/>
      <c r="I24" s="21"/>
      <c r="J24" s="21"/>
      <c r="K24" s="20"/>
      <c r="L24" s="19"/>
      <c r="M24" s="20"/>
      <c r="N24" s="19"/>
      <c r="O24" s="17">
        <f>IF(AND(ISNUMBER(B24),ISNUMBER(N24)),N24-B24,"")</f>
        <v>0</v>
      </c>
    </row>
    <row r="25" spans="1:15" ht="20" customHeight="1">
      <c r="A25" s="13" t="s">
        <v>51</v>
      </c>
      <c r="B25" s="14"/>
      <c r="C25" s="15"/>
      <c r="D25" s="15"/>
      <c r="E25" s="15"/>
      <c r="F25" s="16"/>
      <c r="G25" s="16"/>
      <c r="H25" s="16"/>
      <c r="I25" s="16"/>
      <c r="J25" s="16"/>
      <c r="K25" s="15"/>
      <c r="L25" s="14"/>
      <c r="M25" s="15"/>
      <c r="N25" s="14"/>
      <c r="O25" s="17">
        <f>IF(AND(ISNUMBER(B25),ISNUMBER(N25)),N25-B25,"")</f>
        <v>0</v>
      </c>
    </row>
    <row r="26" spans="1:15" ht="20" customHeight="1">
      <c r="A26" s="18" t="s">
        <v>52</v>
      </c>
      <c r="B26" s="19"/>
      <c r="C26" s="20"/>
      <c r="D26" s="20"/>
      <c r="E26" s="20"/>
      <c r="F26" s="21"/>
      <c r="G26" s="21"/>
      <c r="H26" s="21"/>
      <c r="I26" s="21"/>
      <c r="J26" s="21"/>
      <c r="K26" s="20"/>
      <c r="L26" s="19"/>
      <c r="M26" s="20"/>
      <c r="N26" s="19"/>
      <c r="O26" s="17">
        <f>IF(AND(ISNUMBER(B26),ISNUMBER(N26)),N26-B26,"")</f>
        <v>0</v>
      </c>
    </row>
    <row r="27" spans="1:15" ht="20" customHeight="1">
      <c r="A27" s="13" t="s">
        <v>53</v>
      </c>
      <c r="B27" s="14"/>
      <c r="C27" s="15"/>
      <c r="D27" s="15"/>
      <c r="E27" s="15"/>
      <c r="F27" s="16"/>
      <c r="G27" s="16"/>
      <c r="H27" s="16"/>
      <c r="I27" s="16"/>
      <c r="J27" s="16"/>
      <c r="K27" s="15"/>
      <c r="L27" s="14"/>
      <c r="M27" s="15"/>
      <c r="N27" s="14"/>
      <c r="O27" s="17">
        <f>IF(AND(ISNUMBER(B27),ISNUMBER(N27)),N27-B27,"")</f>
        <v>0</v>
      </c>
    </row>
    <row r="28" spans="1:15" ht="20" customHeight="1">
      <c r="A28" s="18" t="s">
        <v>54</v>
      </c>
      <c r="B28" s="19"/>
      <c r="C28" s="20"/>
      <c r="D28" s="20"/>
      <c r="E28" s="20"/>
      <c r="F28" s="21"/>
      <c r="G28" s="21"/>
      <c r="H28" s="21"/>
      <c r="I28" s="21"/>
      <c r="J28" s="21"/>
      <c r="K28" s="20"/>
      <c r="L28" s="19"/>
      <c r="M28" s="20"/>
      <c r="N28" s="19"/>
      <c r="O28" s="17">
        <f>IF(AND(ISNUMBER(B28),ISNUMBER(N28)),N28-B28,"")</f>
        <v>0</v>
      </c>
    </row>
    <row r="29" spans="1:15" ht="20" customHeight="1">
      <c r="A29" s="13" t="s">
        <v>55</v>
      </c>
      <c r="B29" s="14"/>
      <c r="C29" s="15"/>
      <c r="D29" s="15"/>
      <c r="E29" s="15"/>
      <c r="F29" s="16"/>
      <c r="G29" s="16"/>
      <c r="H29" s="16"/>
      <c r="I29" s="16"/>
      <c r="J29" s="16"/>
      <c r="K29" s="15"/>
      <c r="L29" s="14"/>
      <c r="M29" s="15"/>
      <c r="N29" s="14"/>
      <c r="O29" s="17">
        <f>IF(AND(ISNUMBER(B29),ISNUMBER(N29)),N29-B29,"")</f>
        <v>0</v>
      </c>
    </row>
    <row r="30" spans="1:15" ht="20" customHeight="1">
      <c r="A30" s="18" t="s">
        <v>56</v>
      </c>
      <c r="B30" s="19"/>
      <c r="C30" s="20"/>
      <c r="D30" s="20"/>
      <c r="E30" s="20"/>
      <c r="F30" s="21"/>
      <c r="G30" s="21"/>
      <c r="H30" s="21"/>
      <c r="I30" s="21"/>
      <c r="J30" s="21"/>
      <c r="K30" s="20"/>
      <c r="L30" s="19"/>
      <c r="M30" s="20"/>
      <c r="N30" s="19"/>
      <c r="O30" s="17">
        <f>IF(AND(ISNUMBER(B30),ISNUMBER(N30)),N30-B30,"")</f>
        <v>0</v>
      </c>
    </row>
    <row r="31" spans="1:15" ht="20" customHeight="1">
      <c r="A31" s="13" t="s">
        <v>57</v>
      </c>
      <c r="B31" s="14"/>
      <c r="C31" s="15"/>
      <c r="D31" s="15"/>
      <c r="E31" s="15"/>
      <c r="F31" s="16"/>
      <c r="G31" s="16"/>
      <c r="H31" s="16"/>
      <c r="I31" s="16"/>
      <c r="J31" s="16"/>
      <c r="K31" s="15"/>
      <c r="L31" s="14"/>
      <c r="M31" s="15"/>
      <c r="N31" s="14"/>
      <c r="O31" s="17">
        <f>IF(AND(ISNUMBER(B31),ISNUMBER(N31)),N31-B31,"")</f>
        <v>0</v>
      </c>
    </row>
    <row r="32" spans="1:15" ht="20" customHeight="1">
      <c r="A32" s="18" t="s">
        <v>58</v>
      </c>
      <c r="B32" s="19"/>
      <c r="C32" s="20"/>
      <c r="D32" s="20"/>
      <c r="E32" s="20"/>
      <c r="F32" s="21"/>
      <c r="G32" s="21"/>
      <c r="H32" s="21"/>
      <c r="I32" s="21"/>
      <c r="J32" s="21"/>
      <c r="K32" s="20"/>
      <c r="L32" s="19"/>
      <c r="M32" s="20"/>
      <c r="N32" s="19"/>
      <c r="O32" s="17">
        <f>IF(AND(ISNUMBER(B32),ISNUMBER(N32)),N32-B32,"")</f>
        <v>0</v>
      </c>
    </row>
    <row r="33" spans="1:15" ht="20" customHeight="1">
      <c r="A33" s="13" t="s">
        <v>59</v>
      </c>
      <c r="B33" s="14"/>
      <c r="C33" s="15"/>
      <c r="D33" s="15"/>
      <c r="E33" s="15"/>
      <c r="F33" s="16"/>
      <c r="G33" s="16"/>
      <c r="H33" s="16"/>
      <c r="I33" s="16"/>
      <c r="J33" s="16"/>
      <c r="K33" s="15"/>
      <c r="L33" s="14"/>
      <c r="M33" s="15"/>
      <c r="N33" s="14"/>
      <c r="O33" s="17">
        <f>IF(AND(ISNUMBER(B33),ISNUMBER(N33)),N33-B33,"")</f>
        <v>0</v>
      </c>
    </row>
    <row r="34" spans="1:15" ht="20" customHeight="1">
      <c r="A34" s="18" t="s">
        <v>60</v>
      </c>
      <c r="B34" s="19"/>
      <c r="C34" s="20"/>
      <c r="D34" s="20"/>
      <c r="E34" s="20"/>
      <c r="F34" s="21"/>
      <c r="G34" s="21"/>
      <c r="H34" s="21"/>
      <c r="I34" s="21"/>
      <c r="J34" s="21"/>
      <c r="K34" s="20"/>
      <c r="L34" s="19"/>
      <c r="M34" s="20"/>
      <c r="N34" s="19"/>
      <c r="O34" s="17">
        <f>IF(AND(ISNUMBER(B34),ISNUMBER(N34)),N34-B34,"")</f>
        <v>0</v>
      </c>
    </row>
    <row r="35" spans="1:15" ht="20" customHeight="1">
      <c r="A35" s="13" t="s">
        <v>61</v>
      </c>
      <c r="B35" s="14"/>
      <c r="C35" s="15"/>
      <c r="D35" s="15"/>
      <c r="E35" s="15"/>
      <c r="F35" s="16"/>
      <c r="G35" s="16"/>
      <c r="H35" s="16"/>
      <c r="I35" s="16"/>
      <c r="J35" s="16"/>
      <c r="K35" s="15"/>
      <c r="L35" s="14"/>
      <c r="M35" s="15"/>
      <c r="N35" s="14"/>
      <c r="O35" s="17">
        <f>IF(AND(ISNUMBER(B35),ISNUMBER(N35)),N35-B35,"")</f>
        <v>0</v>
      </c>
    </row>
    <row r="36" spans="1:15" ht="20" customHeight="1">
      <c r="A36" s="18" t="s">
        <v>62</v>
      </c>
      <c r="B36" s="19"/>
      <c r="C36" s="20"/>
      <c r="D36" s="20"/>
      <c r="E36" s="20"/>
      <c r="F36" s="21"/>
      <c r="G36" s="21"/>
      <c r="H36" s="21"/>
      <c r="I36" s="21"/>
      <c r="J36" s="21"/>
      <c r="K36" s="20"/>
      <c r="L36" s="19"/>
      <c r="M36" s="20"/>
      <c r="N36" s="19"/>
      <c r="O36" s="17">
        <f>IF(AND(ISNUMBER(B36),ISNUMBER(N36)),N36-B36,"")</f>
        <v>0</v>
      </c>
    </row>
    <row r="37" spans="1:15" ht="20" customHeight="1">
      <c r="A37" s="13" t="s">
        <v>63</v>
      </c>
      <c r="B37" s="14"/>
      <c r="C37" s="15"/>
      <c r="D37" s="15"/>
      <c r="E37" s="15"/>
      <c r="F37" s="16"/>
      <c r="G37" s="16"/>
      <c r="H37" s="16"/>
      <c r="I37" s="16"/>
      <c r="J37" s="16"/>
      <c r="K37" s="15"/>
      <c r="L37" s="14"/>
      <c r="M37" s="15"/>
      <c r="N37" s="14"/>
      <c r="O37" s="17">
        <f>IF(AND(ISNUMBER(B37),ISNUMBER(N37)),N37-B37,"")</f>
        <v>0</v>
      </c>
    </row>
    <row r="38" spans="1:15" ht="20" customHeight="1">
      <c r="A38" s="18" t="s">
        <v>64</v>
      </c>
      <c r="B38" s="19"/>
      <c r="C38" s="20"/>
      <c r="D38" s="20"/>
      <c r="E38" s="20"/>
      <c r="F38" s="21"/>
      <c r="G38" s="21"/>
      <c r="H38" s="21"/>
      <c r="I38" s="21"/>
      <c r="J38" s="21"/>
      <c r="K38" s="20"/>
      <c r="L38" s="19"/>
      <c r="M38" s="20"/>
      <c r="N38" s="19"/>
      <c r="O38" s="17">
        <f>IF(AND(ISNUMBER(B38),ISNUMBER(N38)),N38-B38,"")</f>
        <v>0</v>
      </c>
    </row>
    <row r="39" spans="1:15" ht="20" customHeight="1">
      <c r="A39" s="13" t="s">
        <v>65</v>
      </c>
      <c r="B39" s="14"/>
      <c r="C39" s="15"/>
      <c r="D39" s="15"/>
      <c r="E39" s="15"/>
      <c r="F39" s="16"/>
      <c r="G39" s="16"/>
      <c r="H39" s="16"/>
      <c r="I39" s="16"/>
      <c r="J39" s="16"/>
      <c r="K39" s="15"/>
      <c r="L39" s="14"/>
      <c r="M39" s="15"/>
      <c r="N39" s="14"/>
      <c r="O39" s="17">
        <f>IF(AND(ISNUMBER(B39),ISNUMBER(N39)),N39-B39,"")</f>
        <v>0</v>
      </c>
    </row>
    <row r="40" spans="1:15" ht="20" customHeight="1">
      <c r="A40" s="18" t="s">
        <v>66</v>
      </c>
      <c r="B40" s="19"/>
      <c r="C40" s="20"/>
      <c r="D40" s="20"/>
      <c r="E40" s="20"/>
      <c r="F40" s="21"/>
      <c r="G40" s="21"/>
      <c r="H40" s="21"/>
      <c r="I40" s="21"/>
      <c r="J40" s="21"/>
      <c r="K40" s="20"/>
      <c r="L40" s="19"/>
      <c r="M40" s="20"/>
      <c r="N40" s="19"/>
      <c r="O40" s="17">
        <f>IF(AND(ISNUMBER(B40),ISNUMBER(N40)),N40-B40,"")</f>
        <v>0</v>
      </c>
    </row>
    <row r="41" spans="1:15" ht="20" customHeight="1">
      <c r="A41" s="13" t="s">
        <v>67</v>
      </c>
      <c r="B41" s="14"/>
      <c r="C41" s="15"/>
      <c r="D41" s="15"/>
      <c r="E41" s="15"/>
      <c r="F41" s="16"/>
      <c r="G41" s="16"/>
      <c r="H41" s="16"/>
      <c r="I41" s="16"/>
      <c r="J41" s="16"/>
      <c r="K41" s="15"/>
      <c r="L41" s="14"/>
      <c r="M41" s="15"/>
      <c r="N41" s="14"/>
      <c r="O41" s="17">
        <f>IF(AND(ISNUMBER(B41),ISNUMBER(N41)),N41-B41,"")</f>
        <v>0</v>
      </c>
    </row>
    <row r="42" spans="1:15" ht="20" customHeight="1">
      <c r="A42" s="18" t="s">
        <v>68</v>
      </c>
      <c r="B42" s="19"/>
      <c r="C42" s="20"/>
      <c r="D42" s="20"/>
      <c r="E42" s="20"/>
      <c r="F42" s="21"/>
      <c r="G42" s="21"/>
      <c r="H42" s="21"/>
      <c r="I42" s="21"/>
      <c r="J42" s="21"/>
      <c r="K42" s="20"/>
      <c r="L42" s="19"/>
      <c r="M42" s="20"/>
      <c r="N42" s="19"/>
      <c r="O42" s="17">
        <f>IF(AND(ISNUMBER(B42),ISNUMBER(N42)),N42-B42,"")</f>
        <v>0</v>
      </c>
    </row>
    <row r="43" spans="1:15" ht="20" customHeight="1">
      <c r="A43" s="13" t="s">
        <v>69</v>
      </c>
      <c r="B43" s="14"/>
      <c r="C43" s="15"/>
      <c r="D43" s="15"/>
      <c r="E43" s="15"/>
      <c r="F43" s="16"/>
      <c r="G43" s="16"/>
      <c r="H43" s="16"/>
      <c r="I43" s="16"/>
      <c r="J43" s="16"/>
      <c r="K43" s="15"/>
      <c r="L43" s="14"/>
      <c r="M43" s="15"/>
      <c r="N43" s="14"/>
      <c r="O43" s="17">
        <f>IF(AND(ISNUMBER(B43),ISNUMBER(N43)),N43-B43,"")</f>
        <v>0</v>
      </c>
    </row>
    <row r="44" spans="1:15" ht="20" customHeight="1">
      <c r="A44" s="18" t="s">
        <v>70</v>
      </c>
      <c r="B44" s="19"/>
      <c r="C44" s="20"/>
      <c r="D44" s="20"/>
      <c r="E44" s="20"/>
      <c r="F44" s="21"/>
      <c r="G44" s="21"/>
      <c r="H44" s="21"/>
      <c r="I44" s="21"/>
      <c r="J44" s="21"/>
      <c r="K44" s="20"/>
      <c r="L44" s="19"/>
      <c r="M44" s="20"/>
      <c r="N44" s="19"/>
      <c r="O44" s="17">
        <f>IF(AND(ISNUMBER(B44),ISNUMBER(N44)),N44-B44,"")</f>
        <v>0</v>
      </c>
    </row>
    <row r="45" spans="1:15" ht="20" customHeight="1">
      <c r="A45" s="13" t="s">
        <v>71</v>
      </c>
      <c r="B45" s="14"/>
      <c r="C45" s="15"/>
      <c r="D45" s="15"/>
      <c r="E45" s="15"/>
      <c r="F45" s="16"/>
      <c r="G45" s="16"/>
      <c r="H45" s="16"/>
      <c r="I45" s="16"/>
      <c r="J45" s="16"/>
      <c r="K45" s="15"/>
      <c r="L45" s="14"/>
      <c r="M45" s="15"/>
      <c r="N45" s="14"/>
      <c r="O45" s="17">
        <f>IF(AND(ISNUMBER(B45),ISNUMBER(N45)),N45-B45,"")</f>
        <v>0</v>
      </c>
    </row>
    <row r="46" spans="1:15" ht="20" customHeight="1">
      <c r="A46" s="18" t="s">
        <v>72</v>
      </c>
      <c r="B46" s="19"/>
      <c r="C46" s="20"/>
      <c r="D46" s="20"/>
      <c r="E46" s="20"/>
      <c r="F46" s="21"/>
      <c r="G46" s="21"/>
      <c r="H46" s="21"/>
      <c r="I46" s="21"/>
      <c r="J46" s="21"/>
      <c r="K46" s="20"/>
      <c r="L46" s="19"/>
      <c r="M46" s="20"/>
      <c r="N46" s="19"/>
      <c r="O46" s="17">
        <f>IF(AND(ISNUMBER(B46),ISNUMBER(N46)),N46-B46,"")</f>
        <v>0</v>
      </c>
    </row>
    <row r="47" spans="1:15" ht="20" customHeight="1">
      <c r="A47" s="13" t="s">
        <v>73</v>
      </c>
      <c r="B47" s="14"/>
      <c r="C47" s="15"/>
      <c r="D47" s="15"/>
      <c r="E47" s="15"/>
      <c r="F47" s="16"/>
      <c r="G47" s="16"/>
      <c r="H47" s="16"/>
      <c r="I47" s="16"/>
      <c r="J47" s="16"/>
      <c r="K47" s="15"/>
      <c r="L47" s="14"/>
      <c r="M47" s="15"/>
      <c r="N47" s="14"/>
      <c r="O47" s="17">
        <f>IF(AND(ISNUMBER(B47),ISNUMBER(N47)),N47-B47,"")</f>
        <v>0</v>
      </c>
    </row>
    <row r="48" spans="1:15" ht="20" customHeight="1">
      <c r="A48" s="18" t="s">
        <v>74</v>
      </c>
      <c r="B48" s="19"/>
      <c r="C48" s="20"/>
      <c r="D48" s="20"/>
      <c r="E48" s="20"/>
      <c r="F48" s="21"/>
      <c r="G48" s="21"/>
      <c r="H48" s="21"/>
      <c r="I48" s="21"/>
      <c r="J48" s="21"/>
      <c r="K48" s="20"/>
      <c r="L48" s="19"/>
      <c r="M48" s="20"/>
      <c r="N48" s="19"/>
      <c r="O48" s="17">
        <f>IF(AND(ISNUMBER(B48),ISNUMBER(N48)),N48-B48,"")</f>
        <v>0</v>
      </c>
    </row>
    <row r="49" spans="1:15" ht="20" customHeight="1">
      <c r="A49" s="13" t="s">
        <v>75</v>
      </c>
      <c r="B49" s="14"/>
      <c r="C49" s="15"/>
      <c r="D49" s="15"/>
      <c r="E49" s="15"/>
      <c r="F49" s="16"/>
      <c r="G49" s="16"/>
      <c r="H49" s="16"/>
      <c r="I49" s="16"/>
      <c r="J49" s="16"/>
      <c r="K49" s="15"/>
      <c r="L49" s="14"/>
      <c r="M49" s="15"/>
      <c r="N49" s="14"/>
      <c r="O49" s="17">
        <f>IF(AND(ISNUMBER(B49),ISNUMBER(N49)),N49-B49,"")</f>
        <v>0</v>
      </c>
    </row>
    <row r="50" spans="1:15" ht="20" customHeight="1">
      <c r="A50" s="18" t="s">
        <v>76</v>
      </c>
      <c r="B50" s="19"/>
      <c r="C50" s="20"/>
      <c r="D50" s="20"/>
      <c r="E50" s="20"/>
      <c r="F50" s="21"/>
      <c r="G50" s="21"/>
      <c r="H50" s="21"/>
      <c r="I50" s="21"/>
      <c r="J50" s="21"/>
      <c r="K50" s="20"/>
      <c r="L50" s="19"/>
      <c r="M50" s="20"/>
      <c r="N50" s="19"/>
      <c r="O50" s="17">
        <f>IF(AND(ISNUMBER(B50),ISNUMBER(N50)),N50-B50,"")</f>
        <v>0</v>
      </c>
    </row>
    <row r="51" spans="1:15" ht="20" customHeight="1">
      <c r="A51" s="13" t="s">
        <v>77</v>
      </c>
      <c r="B51" s="14"/>
      <c r="C51" s="15"/>
      <c r="D51" s="15"/>
      <c r="E51" s="15"/>
      <c r="F51" s="16"/>
      <c r="G51" s="16"/>
      <c r="H51" s="16"/>
      <c r="I51" s="16"/>
      <c r="J51" s="16"/>
      <c r="K51" s="15"/>
      <c r="L51" s="14"/>
      <c r="M51" s="15"/>
      <c r="N51" s="14"/>
      <c r="O51" s="17">
        <f>IF(AND(ISNUMBER(B51),ISNUMBER(N51)),N51-B51,"")</f>
        <v>0</v>
      </c>
    </row>
    <row r="52" spans="1:15" ht="20" customHeight="1">
      <c r="A52" s="18" t="s">
        <v>78</v>
      </c>
      <c r="B52" s="19"/>
      <c r="C52" s="20"/>
      <c r="D52" s="20"/>
      <c r="E52" s="20"/>
      <c r="F52" s="21"/>
      <c r="G52" s="21"/>
      <c r="H52" s="21"/>
      <c r="I52" s="21"/>
      <c r="J52" s="21"/>
      <c r="K52" s="20"/>
      <c r="L52" s="19"/>
      <c r="M52" s="20"/>
      <c r="N52" s="19"/>
      <c r="O52" s="17">
        <f>IF(AND(ISNUMBER(B52),ISNUMBER(N52)),N52-B52,"")</f>
        <v>0</v>
      </c>
    </row>
    <row r="53" spans="1:15" ht="20" customHeight="1">
      <c r="A53" s="13" t="s">
        <v>79</v>
      </c>
      <c r="B53" s="14"/>
      <c r="C53" s="15"/>
      <c r="D53" s="15"/>
      <c r="E53" s="15"/>
      <c r="F53" s="16"/>
      <c r="G53" s="16"/>
      <c r="H53" s="16"/>
      <c r="I53" s="16"/>
      <c r="J53" s="16"/>
      <c r="K53" s="15"/>
      <c r="L53" s="14"/>
      <c r="M53" s="15"/>
      <c r="N53" s="14"/>
      <c r="O53" s="17">
        <f>IF(AND(ISNUMBER(B53),ISNUMBER(N53)),N53-B53,"")</f>
        <v>0</v>
      </c>
    </row>
    <row r="54" spans="1:15" ht="20" customHeight="1">
      <c r="A54" s="18" t="s">
        <v>80</v>
      </c>
      <c r="B54" s="19"/>
      <c r="C54" s="20"/>
      <c r="D54" s="20"/>
      <c r="E54" s="20"/>
      <c r="F54" s="21"/>
      <c r="G54" s="21"/>
      <c r="H54" s="21"/>
      <c r="I54" s="21"/>
      <c r="J54" s="21"/>
      <c r="K54" s="20"/>
      <c r="L54" s="19"/>
      <c r="M54" s="20"/>
      <c r="N54" s="19"/>
      <c r="O54" s="17">
        <f>IF(AND(ISNUMBER(B54),ISNUMBER(N54)),N54-B54,"")</f>
        <v>0</v>
      </c>
    </row>
    <row r="55" spans="1:15" ht="20" customHeight="1">
      <c r="A55" s="13" t="s">
        <v>81</v>
      </c>
      <c r="B55" s="14"/>
      <c r="C55" s="15"/>
      <c r="D55" s="15"/>
      <c r="E55" s="15"/>
      <c r="F55" s="16"/>
      <c r="G55" s="16"/>
      <c r="H55" s="16"/>
      <c r="I55" s="16"/>
      <c r="J55" s="16"/>
      <c r="K55" s="15"/>
      <c r="L55" s="14"/>
      <c r="M55" s="15"/>
      <c r="N55" s="14"/>
      <c r="O55" s="17">
        <f>IF(AND(ISNUMBER(B55),ISNUMBER(N55)),N55-B55,"")</f>
        <v>0</v>
      </c>
    </row>
    <row r="56" spans="1:15" ht="20" customHeight="1">
      <c r="A56" s="18" t="s">
        <v>82</v>
      </c>
      <c r="B56" s="19"/>
      <c r="C56" s="20"/>
      <c r="D56" s="20"/>
      <c r="E56" s="20"/>
      <c r="F56" s="21"/>
      <c r="G56" s="21"/>
      <c r="H56" s="21"/>
      <c r="I56" s="21"/>
      <c r="J56" s="21"/>
      <c r="K56" s="20"/>
      <c r="L56" s="19"/>
      <c r="M56" s="20"/>
      <c r="N56" s="19"/>
      <c r="O56" s="17">
        <f>IF(AND(ISNUMBER(B56),ISNUMBER(N56)),N56-B56,"")</f>
        <v>0</v>
      </c>
    </row>
    <row r="57" spans="1:15" ht="20" customHeight="1">
      <c r="A57" s="13" t="s">
        <v>83</v>
      </c>
      <c r="B57" s="14"/>
      <c r="C57" s="15"/>
      <c r="D57" s="15"/>
      <c r="E57" s="15"/>
      <c r="F57" s="16"/>
      <c r="G57" s="16"/>
      <c r="H57" s="16"/>
      <c r="I57" s="16"/>
      <c r="J57" s="16"/>
      <c r="K57" s="15"/>
      <c r="L57" s="14"/>
      <c r="M57" s="15"/>
      <c r="N57" s="14"/>
      <c r="O57" s="17">
        <f>IF(AND(ISNUMBER(B57),ISNUMBER(N57)),N57-B57,"")</f>
        <v>0</v>
      </c>
    </row>
    <row r="58" spans="1:15" ht="20" customHeight="1">
      <c r="A58" s="18" t="s">
        <v>84</v>
      </c>
      <c r="B58" s="19"/>
      <c r="C58" s="20"/>
      <c r="D58" s="20"/>
      <c r="E58" s="20"/>
      <c r="F58" s="21"/>
      <c r="G58" s="21"/>
      <c r="H58" s="21"/>
      <c r="I58" s="21"/>
      <c r="J58" s="21"/>
      <c r="K58" s="20"/>
      <c r="L58" s="19"/>
      <c r="M58" s="20"/>
      <c r="N58" s="19"/>
      <c r="O58" s="17">
        <f>IF(AND(ISNUMBER(B58),ISNUMBER(N58)),N58-B58,"")</f>
        <v>0</v>
      </c>
    </row>
    <row r="59" spans="1:15" ht="20" customHeight="1">
      <c r="A59" s="13" t="s">
        <v>85</v>
      </c>
      <c r="B59" s="14"/>
      <c r="C59" s="15"/>
      <c r="D59" s="15"/>
      <c r="E59" s="15"/>
      <c r="F59" s="16"/>
      <c r="G59" s="16"/>
      <c r="H59" s="16"/>
      <c r="I59" s="16"/>
      <c r="J59" s="16"/>
      <c r="K59" s="15"/>
      <c r="L59" s="14"/>
      <c r="M59" s="15"/>
      <c r="N59" s="14"/>
      <c r="O59" s="17">
        <f>IF(AND(ISNUMBER(B59),ISNUMBER(N59)),N59-B59,"")</f>
        <v>0</v>
      </c>
    </row>
    <row r="60" spans="1:15" ht="20" customHeight="1">
      <c r="A60" s="18" t="s">
        <v>86</v>
      </c>
      <c r="B60" s="19"/>
      <c r="C60" s="20"/>
      <c r="D60" s="20"/>
      <c r="E60" s="20"/>
      <c r="F60" s="21"/>
      <c r="G60" s="21"/>
      <c r="H60" s="21"/>
      <c r="I60" s="21"/>
      <c r="J60" s="21"/>
      <c r="K60" s="20"/>
      <c r="L60" s="19"/>
      <c r="M60" s="20"/>
      <c r="N60" s="19"/>
      <c r="O60" s="17">
        <f>IF(AND(ISNUMBER(B60),ISNUMBER(N60)),N60-B60,"")</f>
        <v>0</v>
      </c>
    </row>
    <row r="61" spans="1:15" ht="20" customHeight="1">
      <c r="A61" s="13" t="s">
        <v>87</v>
      </c>
      <c r="B61" s="14"/>
      <c r="C61" s="15"/>
      <c r="D61" s="15"/>
      <c r="E61" s="15"/>
      <c r="F61" s="16"/>
      <c r="G61" s="16"/>
      <c r="H61" s="16"/>
      <c r="I61" s="16"/>
      <c r="J61" s="16"/>
      <c r="K61" s="15"/>
      <c r="L61" s="14"/>
      <c r="M61" s="15"/>
      <c r="N61" s="14"/>
      <c r="O61" s="17">
        <f>IF(AND(ISNUMBER(B61),ISNUMBER(N61)),N61-B61,"")</f>
        <v>0</v>
      </c>
    </row>
    <row r="62" spans="1:15" ht="20" customHeight="1">
      <c r="A62" s="18" t="s">
        <v>88</v>
      </c>
      <c r="B62" s="19"/>
      <c r="C62" s="20"/>
      <c r="D62" s="20"/>
      <c r="E62" s="20"/>
      <c r="F62" s="21"/>
      <c r="G62" s="21"/>
      <c r="H62" s="21"/>
      <c r="I62" s="21"/>
      <c r="J62" s="21"/>
      <c r="K62" s="20"/>
      <c r="L62" s="19"/>
      <c r="M62" s="20"/>
      <c r="N62" s="19"/>
      <c r="O62" s="17">
        <f>IF(AND(ISNUMBER(B62),ISNUMBER(N62)),N62-B62,"")</f>
        <v>0</v>
      </c>
    </row>
    <row r="63" spans="1:15" ht="20" customHeight="1">
      <c r="A63" s="13" t="s">
        <v>89</v>
      </c>
      <c r="B63" s="14"/>
      <c r="C63" s="15"/>
      <c r="D63" s="15"/>
      <c r="E63" s="15"/>
      <c r="F63" s="16"/>
      <c r="G63" s="16"/>
      <c r="H63" s="16"/>
      <c r="I63" s="16"/>
      <c r="J63" s="16"/>
      <c r="K63" s="15"/>
      <c r="L63" s="14"/>
      <c r="M63" s="15"/>
      <c r="N63" s="14"/>
      <c r="O63" s="17">
        <f>IF(AND(ISNUMBER(B63),ISNUMBER(N63)),N63-B63,"")</f>
        <v>0</v>
      </c>
    </row>
    <row r="64" spans="1:15" ht="20" customHeight="1">
      <c r="A64" s="18" t="s">
        <v>90</v>
      </c>
      <c r="B64" s="19"/>
      <c r="C64" s="20"/>
      <c r="D64" s="20"/>
      <c r="E64" s="20"/>
      <c r="F64" s="21"/>
      <c r="G64" s="21"/>
      <c r="H64" s="21"/>
      <c r="I64" s="21"/>
      <c r="J64" s="21"/>
      <c r="K64" s="20"/>
      <c r="L64" s="19"/>
      <c r="M64" s="20"/>
      <c r="N64" s="19"/>
      <c r="O64" s="17">
        <f>IF(AND(ISNUMBER(B64),ISNUMBER(N64)),N64-B64,"")</f>
        <v>0</v>
      </c>
    </row>
    <row r="65" spans="1:15" ht="20" customHeight="1">
      <c r="A65" s="13" t="s">
        <v>91</v>
      </c>
      <c r="B65" s="14"/>
      <c r="C65" s="15"/>
      <c r="D65" s="15"/>
      <c r="E65" s="15"/>
      <c r="F65" s="16"/>
      <c r="G65" s="16"/>
      <c r="H65" s="16"/>
      <c r="I65" s="16"/>
      <c r="J65" s="16"/>
      <c r="K65" s="15"/>
      <c r="L65" s="14"/>
      <c r="M65" s="15"/>
      <c r="N65" s="14"/>
      <c r="O65" s="17">
        <f>IF(AND(ISNUMBER(B65),ISNUMBER(N65)),N65-B65,"")</f>
        <v>0</v>
      </c>
    </row>
    <row r="66" spans="1:15" ht="20" customHeight="1">
      <c r="A66" s="18" t="s">
        <v>92</v>
      </c>
      <c r="B66" s="19"/>
      <c r="C66" s="20"/>
      <c r="D66" s="20"/>
      <c r="E66" s="20"/>
      <c r="F66" s="21"/>
      <c r="G66" s="21"/>
      <c r="H66" s="21"/>
      <c r="I66" s="21"/>
      <c r="J66" s="21"/>
      <c r="K66" s="20"/>
      <c r="L66" s="19"/>
      <c r="M66" s="20"/>
      <c r="N66" s="19"/>
      <c r="O66" s="17">
        <f>IF(AND(ISNUMBER(B66),ISNUMBER(N66)),N66-B66,"")</f>
        <v>0</v>
      </c>
    </row>
    <row r="67" spans="1:15" ht="20" customHeight="1">
      <c r="A67" s="13" t="s">
        <v>93</v>
      </c>
      <c r="B67" s="14"/>
      <c r="C67" s="15"/>
      <c r="D67" s="15"/>
      <c r="E67" s="15"/>
      <c r="F67" s="16"/>
      <c r="G67" s="16"/>
      <c r="H67" s="16"/>
      <c r="I67" s="16"/>
      <c r="J67" s="16"/>
      <c r="K67" s="15"/>
      <c r="L67" s="14"/>
      <c r="M67" s="15"/>
      <c r="N67" s="14"/>
      <c r="O67" s="17">
        <f>IF(AND(ISNUMBER(B67),ISNUMBER(N67)),N67-B67,"")</f>
        <v>0</v>
      </c>
    </row>
    <row r="68" spans="1:15" ht="20" customHeight="1">
      <c r="A68" s="18" t="s">
        <v>94</v>
      </c>
      <c r="B68" s="19"/>
      <c r="C68" s="20"/>
      <c r="D68" s="20"/>
      <c r="E68" s="20"/>
      <c r="F68" s="21"/>
      <c r="G68" s="21"/>
      <c r="H68" s="21"/>
      <c r="I68" s="21"/>
      <c r="J68" s="21"/>
      <c r="K68" s="20"/>
      <c r="L68" s="19"/>
      <c r="M68" s="20"/>
      <c r="N68" s="19"/>
      <c r="O68" s="17">
        <f>IF(AND(ISNUMBER(B68),ISNUMBER(N68)),N68-B68,"")</f>
        <v>0</v>
      </c>
    </row>
    <row r="69" spans="1:15" ht="20" customHeight="1">
      <c r="A69" s="13" t="s">
        <v>95</v>
      </c>
      <c r="B69" s="14"/>
      <c r="C69" s="15"/>
      <c r="D69" s="15"/>
      <c r="E69" s="15"/>
      <c r="F69" s="16"/>
      <c r="G69" s="16"/>
      <c r="H69" s="16"/>
      <c r="I69" s="16"/>
      <c r="J69" s="16"/>
      <c r="K69" s="15"/>
      <c r="L69" s="14"/>
      <c r="M69" s="15"/>
      <c r="N69" s="14"/>
      <c r="O69" s="17">
        <f>IF(AND(ISNUMBER(B69),ISNUMBER(N69)),N69-B69,"")</f>
        <v>0</v>
      </c>
    </row>
    <row r="70" spans="1:15" ht="20" customHeight="1">
      <c r="A70" s="18" t="s">
        <v>96</v>
      </c>
      <c r="B70" s="19"/>
      <c r="C70" s="20"/>
      <c r="D70" s="20"/>
      <c r="E70" s="20"/>
      <c r="F70" s="21"/>
      <c r="G70" s="21"/>
      <c r="H70" s="21"/>
      <c r="I70" s="21"/>
      <c r="J70" s="21"/>
      <c r="K70" s="20"/>
      <c r="L70" s="19"/>
      <c r="M70" s="20"/>
      <c r="N70" s="19"/>
      <c r="O70" s="17">
        <f>IF(AND(ISNUMBER(B70),ISNUMBER(N70)),N70-B70,"")</f>
        <v>0</v>
      </c>
    </row>
    <row r="71" spans="1:15" ht="20" customHeight="1">
      <c r="A71" s="13" t="s">
        <v>97</v>
      </c>
      <c r="B71" s="14"/>
      <c r="C71" s="15"/>
      <c r="D71" s="15"/>
      <c r="E71" s="15"/>
      <c r="F71" s="16"/>
      <c r="G71" s="16"/>
      <c r="H71" s="16"/>
      <c r="I71" s="16"/>
      <c r="J71" s="16"/>
      <c r="K71" s="15"/>
      <c r="L71" s="14"/>
      <c r="M71" s="15"/>
      <c r="N71" s="14"/>
      <c r="O71" s="17">
        <f>IF(AND(ISNUMBER(B71),ISNUMBER(N71)),N71-B71,"")</f>
        <v>0</v>
      </c>
    </row>
    <row r="72" spans="1:15" ht="20" customHeight="1">
      <c r="A72" s="18" t="s">
        <v>98</v>
      </c>
      <c r="B72" s="19"/>
      <c r="C72" s="20"/>
      <c r="D72" s="20"/>
      <c r="E72" s="20"/>
      <c r="F72" s="21"/>
      <c r="G72" s="21"/>
      <c r="H72" s="21"/>
      <c r="I72" s="21"/>
      <c r="J72" s="21"/>
      <c r="K72" s="20"/>
      <c r="L72" s="19"/>
      <c r="M72" s="20"/>
      <c r="N72" s="19"/>
      <c r="O72" s="17">
        <f>IF(AND(ISNUMBER(B72),ISNUMBER(N72)),N72-B72,"")</f>
        <v>0</v>
      </c>
    </row>
    <row r="73" spans="1:15" ht="20" customHeight="1">
      <c r="A73" s="13" t="s">
        <v>99</v>
      </c>
      <c r="B73" s="14"/>
      <c r="C73" s="15"/>
      <c r="D73" s="15"/>
      <c r="E73" s="15"/>
      <c r="F73" s="16"/>
      <c r="G73" s="16"/>
      <c r="H73" s="16"/>
      <c r="I73" s="16"/>
      <c r="J73" s="16"/>
      <c r="K73" s="15"/>
      <c r="L73" s="14"/>
      <c r="M73" s="15"/>
      <c r="N73" s="14"/>
      <c r="O73" s="17">
        <f>IF(AND(ISNUMBER(B73),ISNUMBER(N73)),N73-B73,"")</f>
        <v>0</v>
      </c>
    </row>
    <row r="74" spans="1:15" ht="20" customHeight="1">
      <c r="A74" s="18" t="s">
        <v>100</v>
      </c>
      <c r="B74" s="19"/>
      <c r="C74" s="20"/>
      <c r="D74" s="20"/>
      <c r="E74" s="20"/>
      <c r="F74" s="21"/>
      <c r="G74" s="21"/>
      <c r="H74" s="21"/>
      <c r="I74" s="21"/>
      <c r="J74" s="21"/>
      <c r="K74" s="20"/>
      <c r="L74" s="19"/>
      <c r="M74" s="20"/>
      <c r="N74" s="19"/>
      <c r="O74" s="17">
        <f>IF(AND(ISNUMBER(B74),ISNUMBER(N74)),N74-B74,"")</f>
        <v>0</v>
      </c>
    </row>
    <row r="75" spans="1:15" ht="20" customHeight="1">
      <c r="A75" s="13" t="s">
        <v>101</v>
      </c>
      <c r="B75" s="14"/>
      <c r="C75" s="15"/>
      <c r="D75" s="15"/>
      <c r="E75" s="15"/>
      <c r="F75" s="16"/>
      <c r="G75" s="16"/>
      <c r="H75" s="16"/>
      <c r="I75" s="16"/>
      <c r="J75" s="16"/>
      <c r="K75" s="15"/>
      <c r="L75" s="14"/>
      <c r="M75" s="15"/>
      <c r="N75" s="14"/>
      <c r="O75" s="17">
        <f>IF(AND(ISNUMBER(B75),ISNUMBER(N75)),N75-B75,"")</f>
        <v>0</v>
      </c>
    </row>
    <row r="76" spans="1:15" ht="20" customHeight="1">
      <c r="A76" s="18" t="s">
        <v>102</v>
      </c>
      <c r="B76" s="19"/>
      <c r="C76" s="20"/>
      <c r="D76" s="20"/>
      <c r="E76" s="20"/>
      <c r="F76" s="21"/>
      <c r="G76" s="21"/>
      <c r="H76" s="21"/>
      <c r="I76" s="21"/>
      <c r="J76" s="21"/>
      <c r="K76" s="20"/>
      <c r="L76" s="19"/>
      <c r="M76" s="20"/>
      <c r="N76" s="19"/>
      <c r="O76" s="17">
        <f>IF(AND(ISNUMBER(B76),ISNUMBER(N76)),N76-B76,"")</f>
        <v>0</v>
      </c>
    </row>
    <row r="77" spans="1:15" ht="20" customHeight="1">
      <c r="A77" s="13" t="s">
        <v>103</v>
      </c>
      <c r="B77" s="14"/>
      <c r="C77" s="15"/>
      <c r="D77" s="15"/>
      <c r="E77" s="15"/>
      <c r="F77" s="16"/>
      <c r="G77" s="16"/>
      <c r="H77" s="16"/>
      <c r="I77" s="16"/>
      <c r="J77" s="16"/>
      <c r="K77" s="15"/>
      <c r="L77" s="14"/>
      <c r="M77" s="15"/>
      <c r="N77" s="14"/>
      <c r="O77" s="17">
        <f>IF(AND(ISNUMBER(B77),ISNUMBER(N77)),N77-B77,"")</f>
        <v>0</v>
      </c>
    </row>
    <row r="78" spans="1:15" ht="20" customHeight="1">
      <c r="A78" s="18" t="s">
        <v>104</v>
      </c>
      <c r="B78" s="19"/>
      <c r="C78" s="20"/>
      <c r="D78" s="20"/>
      <c r="E78" s="20"/>
      <c r="F78" s="21"/>
      <c r="G78" s="21"/>
      <c r="H78" s="21"/>
      <c r="I78" s="21"/>
      <c r="J78" s="21"/>
      <c r="K78" s="20"/>
      <c r="L78" s="19"/>
      <c r="M78" s="20"/>
      <c r="N78" s="19"/>
      <c r="O78" s="17">
        <f>IF(AND(ISNUMBER(B78),ISNUMBER(N78)),N78-B78,"")</f>
        <v>0</v>
      </c>
    </row>
    <row r="79" spans="1:15" ht="20" customHeight="1">
      <c r="A79" s="13" t="s">
        <v>105</v>
      </c>
      <c r="B79" s="14"/>
      <c r="C79" s="15"/>
      <c r="D79" s="15"/>
      <c r="E79" s="15"/>
      <c r="F79" s="16"/>
      <c r="G79" s="16"/>
      <c r="H79" s="16"/>
      <c r="I79" s="16"/>
      <c r="J79" s="16"/>
      <c r="K79" s="15"/>
      <c r="L79" s="14"/>
      <c r="M79" s="15"/>
      <c r="N79" s="14"/>
      <c r="O79" s="17">
        <f>IF(AND(ISNUMBER(B79),ISNUMBER(N79)),N79-B79,"")</f>
        <v>0</v>
      </c>
    </row>
    <row r="80" spans="1:15" ht="20" customHeight="1">
      <c r="A80" s="18" t="s">
        <v>106</v>
      </c>
      <c r="B80" s="19"/>
      <c r="C80" s="20"/>
      <c r="D80" s="20"/>
      <c r="E80" s="20"/>
      <c r="F80" s="21"/>
      <c r="G80" s="21"/>
      <c r="H80" s="21"/>
      <c r="I80" s="21"/>
      <c r="J80" s="21"/>
      <c r="K80" s="20"/>
      <c r="L80" s="19"/>
      <c r="M80" s="20"/>
      <c r="N80" s="19"/>
      <c r="O80" s="17">
        <f>IF(AND(ISNUMBER(B80),ISNUMBER(N80)),N80-B80,"")</f>
        <v>0</v>
      </c>
    </row>
    <row r="81" spans="1:15" ht="20" customHeight="1">
      <c r="A81" s="13" t="s">
        <v>107</v>
      </c>
      <c r="B81" s="14"/>
      <c r="C81" s="15"/>
      <c r="D81" s="15"/>
      <c r="E81" s="15"/>
      <c r="F81" s="16"/>
      <c r="G81" s="16"/>
      <c r="H81" s="16"/>
      <c r="I81" s="16"/>
      <c r="J81" s="16"/>
      <c r="K81" s="15"/>
      <c r="L81" s="14"/>
      <c r="M81" s="15"/>
      <c r="N81" s="14"/>
      <c r="O81" s="17">
        <f>IF(AND(ISNUMBER(B81),ISNUMBER(N81)),N81-B81,"")</f>
        <v>0</v>
      </c>
    </row>
    <row r="82" spans="1:15" ht="20" customHeight="1">
      <c r="A82" s="18" t="s">
        <v>108</v>
      </c>
      <c r="B82" s="19"/>
      <c r="C82" s="20"/>
      <c r="D82" s="20"/>
      <c r="E82" s="20"/>
      <c r="F82" s="21"/>
      <c r="G82" s="21"/>
      <c r="H82" s="21"/>
      <c r="I82" s="21"/>
      <c r="J82" s="21"/>
      <c r="K82" s="20"/>
      <c r="L82" s="19"/>
      <c r="M82" s="20"/>
      <c r="N82" s="19"/>
      <c r="O82" s="17">
        <f>IF(AND(ISNUMBER(B82),ISNUMBER(N82)),N82-B82,"")</f>
        <v>0</v>
      </c>
    </row>
    <row r="83" spans="1:15" ht="20" customHeight="1">
      <c r="A83" s="13" t="s">
        <v>109</v>
      </c>
      <c r="B83" s="14"/>
      <c r="C83" s="15"/>
      <c r="D83" s="15"/>
      <c r="E83" s="15"/>
      <c r="F83" s="16"/>
      <c r="G83" s="16"/>
      <c r="H83" s="16"/>
      <c r="I83" s="16"/>
      <c r="J83" s="16"/>
      <c r="K83" s="15"/>
      <c r="L83" s="14"/>
      <c r="M83" s="15"/>
      <c r="N83" s="14"/>
      <c r="O83" s="17">
        <f>IF(AND(ISNUMBER(B83),ISNUMBER(N83)),N83-B83,"")</f>
        <v>0</v>
      </c>
    </row>
    <row r="84" spans="1:15" ht="20" customHeight="1">
      <c r="A84" s="18" t="s">
        <v>110</v>
      </c>
      <c r="B84" s="19"/>
      <c r="C84" s="20"/>
      <c r="D84" s="20"/>
      <c r="E84" s="20"/>
      <c r="F84" s="21"/>
      <c r="G84" s="21"/>
      <c r="H84" s="21"/>
      <c r="I84" s="21"/>
      <c r="J84" s="21"/>
      <c r="K84" s="20"/>
      <c r="L84" s="19"/>
      <c r="M84" s="20"/>
      <c r="N84" s="19"/>
      <c r="O84" s="17">
        <f>IF(AND(ISNUMBER(B84),ISNUMBER(N84)),N84-B84,"")</f>
        <v>0</v>
      </c>
    </row>
    <row r="85" spans="1:15" ht="20" customHeight="1">
      <c r="A85" s="13" t="s">
        <v>111</v>
      </c>
      <c r="B85" s="14"/>
      <c r="C85" s="15"/>
      <c r="D85" s="15"/>
      <c r="E85" s="15"/>
      <c r="F85" s="16"/>
      <c r="G85" s="16"/>
      <c r="H85" s="16"/>
      <c r="I85" s="16"/>
      <c r="J85" s="16"/>
      <c r="K85" s="15"/>
      <c r="L85" s="14"/>
      <c r="M85" s="15"/>
      <c r="N85" s="14"/>
      <c r="O85" s="17">
        <f>IF(AND(ISNUMBER(B85),ISNUMBER(N85)),N85-B85,"")</f>
        <v>0</v>
      </c>
    </row>
    <row r="86" spans="1:15" ht="20" customHeight="1">
      <c r="A86" s="18" t="s">
        <v>112</v>
      </c>
      <c r="B86" s="19"/>
      <c r="C86" s="20"/>
      <c r="D86" s="20"/>
      <c r="E86" s="20"/>
      <c r="F86" s="21"/>
      <c r="G86" s="21"/>
      <c r="H86" s="21"/>
      <c r="I86" s="21"/>
      <c r="J86" s="21"/>
      <c r="K86" s="20"/>
      <c r="L86" s="19"/>
      <c r="M86" s="20"/>
      <c r="N86" s="19"/>
      <c r="O86" s="17">
        <f>IF(AND(ISNUMBER(B86),ISNUMBER(N86)),N86-B86,"")</f>
        <v>0</v>
      </c>
    </row>
    <row r="87" spans="1:15" ht="20" customHeight="1">
      <c r="A87" s="13" t="s">
        <v>113</v>
      </c>
      <c r="B87" s="14"/>
      <c r="C87" s="15"/>
      <c r="D87" s="15"/>
      <c r="E87" s="15"/>
      <c r="F87" s="16"/>
      <c r="G87" s="16"/>
      <c r="H87" s="16"/>
      <c r="I87" s="16"/>
      <c r="J87" s="16"/>
      <c r="K87" s="15"/>
      <c r="L87" s="14"/>
      <c r="M87" s="15"/>
      <c r="N87" s="14"/>
      <c r="O87" s="17">
        <f>IF(AND(ISNUMBER(B87),ISNUMBER(N87)),N87-B87,"")</f>
        <v>0</v>
      </c>
    </row>
    <row r="88" spans="1:15" ht="20" customHeight="1">
      <c r="A88" s="18" t="s">
        <v>114</v>
      </c>
      <c r="B88" s="19"/>
      <c r="C88" s="20"/>
      <c r="D88" s="20"/>
      <c r="E88" s="20"/>
      <c r="F88" s="21"/>
      <c r="G88" s="21"/>
      <c r="H88" s="21"/>
      <c r="I88" s="21"/>
      <c r="J88" s="21"/>
      <c r="K88" s="20"/>
      <c r="L88" s="19"/>
      <c r="M88" s="20"/>
      <c r="N88" s="19"/>
      <c r="O88" s="17">
        <f>IF(AND(ISNUMBER(B88),ISNUMBER(N88)),N88-B88,"")</f>
        <v>0</v>
      </c>
    </row>
    <row r="89" spans="1:15" ht="20" customHeight="1">
      <c r="A89" s="13" t="s">
        <v>115</v>
      </c>
      <c r="B89" s="14"/>
      <c r="C89" s="15"/>
      <c r="D89" s="15"/>
      <c r="E89" s="15"/>
      <c r="F89" s="16"/>
      <c r="G89" s="16"/>
      <c r="H89" s="16"/>
      <c r="I89" s="16"/>
      <c r="J89" s="16"/>
      <c r="K89" s="15"/>
      <c r="L89" s="14"/>
      <c r="M89" s="15"/>
      <c r="N89" s="14"/>
      <c r="O89" s="17">
        <f>IF(AND(ISNUMBER(B89),ISNUMBER(N89)),N89-B89,"")</f>
        <v>0</v>
      </c>
    </row>
    <row r="90" spans="1:15" ht="20" customHeight="1">
      <c r="A90" s="18" t="s">
        <v>116</v>
      </c>
      <c r="B90" s="19"/>
      <c r="C90" s="20"/>
      <c r="D90" s="20"/>
      <c r="E90" s="20"/>
      <c r="F90" s="21"/>
      <c r="G90" s="21"/>
      <c r="H90" s="21"/>
      <c r="I90" s="21"/>
      <c r="J90" s="21"/>
      <c r="K90" s="20"/>
      <c r="L90" s="19"/>
      <c r="M90" s="20"/>
      <c r="N90" s="19"/>
      <c r="O90" s="17">
        <f>IF(AND(ISNUMBER(B90),ISNUMBER(N90)),N90-B90,"")</f>
        <v>0</v>
      </c>
    </row>
    <row r="91" spans="1:15" ht="20" customHeight="1">
      <c r="A91" s="13" t="s">
        <v>117</v>
      </c>
      <c r="B91" s="14"/>
      <c r="C91" s="15"/>
      <c r="D91" s="15"/>
      <c r="E91" s="15"/>
      <c r="F91" s="16"/>
      <c r="G91" s="16"/>
      <c r="H91" s="16"/>
      <c r="I91" s="16"/>
      <c r="J91" s="16"/>
      <c r="K91" s="15"/>
      <c r="L91" s="14"/>
      <c r="M91" s="15"/>
      <c r="N91" s="14"/>
      <c r="O91" s="17">
        <f>IF(AND(ISNUMBER(B91),ISNUMBER(N91)),N91-B91,"")</f>
        <v>0</v>
      </c>
    </row>
    <row r="92" spans="1:15" ht="20" customHeight="1">
      <c r="A92" s="18" t="s">
        <v>118</v>
      </c>
      <c r="B92" s="19"/>
      <c r="C92" s="20"/>
      <c r="D92" s="20"/>
      <c r="E92" s="20"/>
      <c r="F92" s="21"/>
      <c r="G92" s="21"/>
      <c r="H92" s="21"/>
      <c r="I92" s="21"/>
      <c r="J92" s="21"/>
      <c r="K92" s="20"/>
      <c r="L92" s="19"/>
      <c r="M92" s="20"/>
      <c r="N92" s="19"/>
      <c r="O92" s="17">
        <f>IF(AND(ISNUMBER(B92),ISNUMBER(N92)),N92-B92,"")</f>
        <v>0</v>
      </c>
    </row>
    <row r="93" spans="1:15" ht="20" customHeight="1">
      <c r="A93" s="13" t="s">
        <v>119</v>
      </c>
      <c r="B93" s="14"/>
      <c r="C93" s="15"/>
      <c r="D93" s="15"/>
      <c r="E93" s="15"/>
      <c r="F93" s="16"/>
      <c r="G93" s="16"/>
      <c r="H93" s="16"/>
      <c r="I93" s="16"/>
      <c r="J93" s="16"/>
      <c r="K93" s="15"/>
      <c r="L93" s="14"/>
      <c r="M93" s="15"/>
      <c r="N93" s="14"/>
      <c r="O93" s="17">
        <f>IF(AND(ISNUMBER(B93),ISNUMBER(N93)),N93-B93,"")</f>
        <v>0</v>
      </c>
    </row>
    <row r="94" spans="1:15" ht="20" customHeight="1">
      <c r="A94" s="18" t="s">
        <v>120</v>
      </c>
      <c r="B94" s="19"/>
      <c r="C94" s="20"/>
      <c r="D94" s="20"/>
      <c r="E94" s="20"/>
      <c r="F94" s="21"/>
      <c r="G94" s="21"/>
      <c r="H94" s="21"/>
      <c r="I94" s="21"/>
      <c r="J94" s="21"/>
      <c r="K94" s="20"/>
      <c r="L94" s="19"/>
      <c r="M94" s="20"/>
      <c r="N94" s="19"/>
      <c r="O94" s="17">
        <f>IF(AND(ISNUMBER(B94),ISNUMBER(N94)),N94-B94,"")</f>
        <v>0</v>
      </c>
    </row>
    <row r="95" spans="1:15" ht="20" customHeight="1">
      <c r="A95" s="13" t="s">
        <v>121</v>
      </c>
      <c r="B95" s="14"/>
      <c r="C95" s="15"/>
      <c r="D95" s="15"/>
      <c r="E95" s="15"/>
      <c r="F95" s="16"/>
      <c r="G95" s="16"/>
      <c r="H95" s="16"/>
      <c r="I95" s="16"/>
      <c r="J95" s="16"/>
      <c r="K95" s="15"/>
      <c r="L95" s="14"/>
      <c r="M95" s="15"/>
      <c r="N95" s="14"/>
      <c r="O95" s="17">
        <f>IF(AND(ISNUMBER(B95),ISNUMBER(N95)),N95-B95,"")</f>
        <v>0</v>
      </c>
    </row>
    <row r="96" spans="1:15" ht="20" customHeight="1">
      <c r="A96" s="18" t="s">
        <v>122</v>
      </c>
      <c r="B96" s="19"/>
      <c r="C96" s="20"/>
      <c r="D96" s="20"/>
      <c r="E96" s="20"/>
      <c r="F96" s="21"/>
      <c r="G96" s="21"/>
      <c r="H96" s="21"/>
      <c r="I96" s="21"/>
      <c r="J96" s="21"/>
      <c r="K96" s="20"/>
      <c r="L96" s="19"/>
      <c r="M96" s="20"/>
      <c r="N96" s="19"/>
      <c r="O96" s="17">
        <f>IF(AND(ISNUMBER(B96),ISNUMBER(N96)),N96-B96,"")</f>
        <v>0</v>
      </c>
    </row>
    <row r="97" spans="1:15" ht="20" customHeight="1">
      <c r="A97" s="13" t="s">
        <v>123</v>
      </c>
      <c r="B97" s="14"/>
      <c r="C97" s="15"/>
      <c r="D97" s="15"/>
      <c r="E97" s="15"/>
      <c r="F97" s="16"/>
      <c r="G97" s="16"/>
      <c r="H97" s="16"/>
      <c r="I97" s="16"/>
      <c r="J97" s="16"/>
      <c r="K97" s="15"/>
      <c r="L97" s="14"/>
      <c r="M97" s="15"/>
      <c r="N97" s="14"/>
      <c r="O97" s="17">
        <f>IF(AND(ISNUMBER(B97),ISNUMBER(N97)),N97-B97,"")</f>
        <v>0</v>
      </c>
    </row>
    <row r="98" spans="1:15" ht="20" customHeight="1">
      <c r="A98" s="18" t="s">
        <v>124</v>
      </c>
      <c r="B98" s="19"/>
      <c r="C98" s="20"/>
      <c r="D98" s="20"/>
      <c r="E98" s="20"/>
      <c r="F98" s="21"/>
      <c r="G98" s="21"/>
      <c r="H98" s="21"/>
      <c r="I98" s="21"/>
      <c r="J98" s="21"/>
      <c r="K98" s="20"/>
      <c r="L98" s="19"/>
      <c r="M98" s="20"/>
      <c r="N98" s="19"/>
      <c r="O98" s="17">
        <f>IF(AND(ISNUMBER(B98),ISNUMBER(N98)),N98-B98,"")</f>
        <v>0</v>
      </c>
    </row>
    <row r="99" spans="1:15" ht="20" customHeight="1">
      <c r="A99" s="13" t="s">
        <v>125</v>
      </c>
      <c r="B99" s="14"/>
      <c r="C99" s="15"/>
      <c r="D99" s="15"/>
      <c r="E99" s="15"/>
      <c r="F99" s="16"/>
      <c r="G99" s="16"/>
      <c r="H99" s="16"/>
      <c r="I99" s="16"/>
      <c r="J99" s="16"/>
      <c r="K99" s="15"/>
      <c r="L99" s="14"/>
      <c r="M99" s="15"/>
      <c r="N99" s="14"/>
      <c r="O99" s="17">
        <f>IF(AND(ISNUMBER(B99),ISNUMBER(N99)),N99-B99,"")</f>
        <v>0</v>
      </c>
    </row>
    <row r="100" spans="1:15" ht="20" customHeight="1">
      <c r="A100" s="18" t="s">
        <v>126</v>
      </c>
      <c r="B100" s="19"/>
      <c r="C100" s="20"/>
      <c r="D100" s="20"/>
      <c r="E100" s="20"/>
      <c r="F100" s="21"/>
      <c r="G100" s="21"/>
      <c r="H100" s="21"/>
      <c r="I100" s="21"/>
      <c r="J100" s="21"/>
      <c r="K100" s="20"/>
      <c r="L100" s="19"/>
      <c r="M100" s="20"/>
      <c r="N100" s="19"/>
      <c r="O100" s="17">
        <f>IF(AND(ISNUMBER(B100),ISNUMBER(N100)),N100-B100,"")</f>
        <v>0</v>
      </c>
    </row>
    <row r="101" spans="1:15" ht="20" customHeight="1">
      <c r="A101" s="13" t="s">
        <v>127</v>
      </c>
      <c r="B101" s="14"/>
      <c r="C101" s="15"/>
      <c r="D101" s="15"/>
      <c r="E101" s="15"/>
      <c r="F101" s="16"/>
      <c r="G101" s="16"/>
      <c r="H101" s="16"/>
      <c r="I101" s="16"/>
      <c r="J101" s="16"/>
      <c r="K101" s="15"/>
      <c r="L101" s="14"/>
      <c r="M101" s="15"/>
      <c r="N101" s="14"/>
      <c r="O101" s="17">
        <f>IF(AND(ISNUMBER(B101),ISNUMBER(N101)),N101-B101,"")</f>
        <v>0</v>
      </c>
    </row>
    <row r="102" spans="1:15" ht="20" customHeight="1">
      <c r="A102" s="18" t="s">
        <v>128</v>
      </c>
      <c r="B102" s="19"/>
      <c r="C102" s="20"/>
      <c r="D102" s="20"/>
      <c r="E102" s="20"/>
      <c r="F102" s="21"/>
      <c r="G102" s="21"/>
      <c r="H102" s="21"/>
      <c r="I102" s="21"/>
      <c r="J102" s="21"/>
      <c r="K102" s="20"/>
      <c r="L102" s="19"/>
      <c r="M102" s="20"/>
      <c r="N102" s="19"/>
      <c r="O102" s="17">
        <f>IF(AND(ISNUMBER(B102),ISNUMBER(N102)),N102-B102,"")</f>
        <v>0</v>
      </c>
    </row>
    <row r="103" spans="1:15" ht="20" customHeight="1">
      <c r="A103" s="13" t="s">
        <v>129</v>
      </c>
      <c r="B103" s="14"/>
      <c r="C103" s="15"/>
      <c r="D103" s="15"/>
      <c r="E103" s="15"/>
      <c r="F103" s="16"/>
      <c r="G103" s="16"/>
      <c r="H103" s="16"/>
      <c r="I103" s="16"/>
      <c r="J103" s="16"/>
      <c r="K103" s="15"/>
      <c r="L103" s="14"/>
      <c r="M103" s="15"/>
      <c r="N103" s="14"/>
      <c r="O103" s="17">
        <f>IF(AND(ISNUMBER(B103),ISNUMBER(N103)),N103-B103,"")</f>
        <v>0</v>
      </c>
    </row>
    <row r="104" spans="1:15" ht="20" customHeight="1">
      <c r="A104" s="18" t="s">
        <v>130</v>
      </c>
      <c r="B104" s="19"/>
      <c r="C104" s="20"/>
      <c r="D104" s="20"/>
      <c r="E104" s="20"/>
      <c r="F104" s="21"/>
      <c r="G104" s="21"/>
      <c r="H104" s="21"/>
      <c r="I104" s="21"/>
      <c r="J104" s="21"/>
      <c r="K104" s="20"/>
      <c r="L104" s="19"/>
      <c r="M104" s="20"/>
      <c r="N104" s="19"/>
      <c r="O104" s="17">
        <f>IF(AND(ISNUMBER(B104),ISNUMBER(N104)),N104-B104,"")</f>
        <v>0</v>
      </c>
    </row>
    <row r="106" spans="1:15">
      <c r="A106" s="22" t="s">
        <v>191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</row>
  </sheetData>
  <sheetProtection sheet="1" objects="1" scenarios="1"/>
  <mergeCells count="7">
    <mergeCell ref="A1:K1"/>
    <mergeCell ref="L1:O1"/>
    <mergeCell ref="A2:B2"/>
    <mergeCell ref="C2:F2"/>
    <mergeCell ref="H2:J2"/>
    <mergeCell ref="K3:O3"/>
    <mergeCell ref="A106:O106"/>
  </mergeCells>
  <conditionalFormatting sqref="E5:E104">
    <cfRule type="containsText" dxfId="0" priority="1" operator="containsText" text="Kritiek">
      <formula>NOT(ISERROR(SEARCH("Kritiek",E5)))</formula>
    </cfRule>
    <cfRule type="containsText" dxfId="1" priority="2" operator="containsText" text="Hoog">
      <formula>NOT(ISERROR(SEARCH("Hoog",E5)))</formula>
    </cfRule>
    <cfRule type="containsText" dxfId="2" priority="3" operator="containsText" text="Middel">
      <formula>NOT(ISERROR(SEARCH("Middel",E5)))</formula>
    </cfRule>
    <cfRule type="containsText" dxfId="3" priority="4" operator="containsText" text="Laag">
      <formula>NOT(ISERROR(SEARCH("Laag",E5)))</formula>
    </cfRule>
  </conditionalFormatting>
  <conditionalFormatting sqref="K5:K104">
    <cfRule type="containsText" dxfId="1" priority="8" operator="containsText" text="Ja">
      <formula>NOT(ISERROR(SEARCH("Ja",K5)))</formula>
    </cfRule>
  </conditionalFormatting>
  <conditionalFormatting sqref="M5:M104">
    <cfRule type="containsText" dxfId="0" priority="5" operator="containsText" text="Open">
      <formula>NOT(ISERROR(SEARCH("Open",M5)))</formula>
    </cfRule>
    <cfRule type="containsText" dxfId="1" priority="6" operator="containsText" text="In behandeling">
      <formula>NOT(ISERROR(SEARCH("In behandeling",M5)))</formula>
    </cfRule>
    <cfRule type="containsText" dxfId="2" priority="7" operator="containsText" text="Afgerond">
      <formula>NOT(ISERROR(SEARCH("Afgerond",M5)))</formula>
    </cfRule>
  </conditionalFormatting>
  <conditionalFormatting sqref="O5:O104">
    <cfRule type="cellIs" dxfId="4" priority="9" operator="greaterThan">
      <formula>3</formula>
    </cfRule>
    <cfRule type="cellIs" dxfId="5" priority="10" operator="between">
      <formula>1</formula>
      <formula>3</formula>
    </cfRule>
  </conditionalFormatting>
  <dataValidations count="4">
    <dataValidation type="list" allowBlank="1" showInputMessage="1" showErrorMessage="1" sqref="D5:D104">
      <formula1>"Ransomware,Datalek,DDoS aanval,Phishing/social eng.,Ongeautoriseerde toegang,Malware/virus,OT/SCADA incident,Insider threat,Leverancier incident,Overig"</formula1>
    </dataValidation>
    <dataValidation type="list" allowBlank="1" showInputMessage="1" showErrorMessage="1" sqref="E5:E104">
      <formula1>"Kritiek,Hoog,Middel,Laag"</formula1>
    </dataValidation>
    <dataValidation type="list" allowBlank="1" showInputMessage="1" showErrorMessage="1" sqref="K5:K104">
      <formula1>"Ja – early warning,Ja – volledig,Nee,N.v.t. (score &lt; drempel)"</formula1>
    </dataValidation>
    <dataValidation type="list" allowBlank="1" showInputMessage="1" showErrorMessage="1" sqref="M5:M104">
      <formula1>"Open,In behandeling,Afgerond,Geëscaleerd,Geaccepteerd"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"/>
  <sheetViews>
    <sheetView zoomScale="85" zoomScaleNormal="8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10.7109375" customWidth="1"/>
    <col min="3" max="3" width="14.7109375" customWidth="1"/>
    <col min="4" max="4" width="18.7109375" customWidth="1"/>
    <col min="5" max="5" width="10.7109375" customWidth="1"/>
    <col min="6" max="6" width="12.7109375" customWidth="1"/>
    <col min="7" max="7" width="30.7109375" customWidth="1"/>
    <col min="8" max="9" width="14.7109375" customWidth="1"/>
  </cols>
  <sheetData>
    <row r="1" spans="1:9" ht="36" customHeight="1">
      <c r="A1" s="1" t="s">
        <v>131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3" t="s">
        <v>132</v>
      </c>
      <c r="B2" s="23"/>
      <c r="C2" s="23"/>
      <c r="D2" s="23"/>
      <c r="E2" s="23"/>
      <c r="F2" s="23"/>
      <c r="G2" s="23"/>
      <c r="H2" s="23"/>
      <c r="I2" s="23"/>
    </row>
    <row r="3" spans="1:9" ht="34" customHeight="1">
      <c r="A3" s="12" t="s">
        <v>16</v>
      </c>
      <c r="B3" s="12" t="s">
        <v>133</v>
      </c>
      <c r="C3" s="12" t="s">
        <v>134</v>
      </c>
      <c r="D3" s="12" t="s">
        <v>135</v>
      </c>
      <c r="E3" s="12" t="s">
        <v>136</v>
      </c>
      <c r="F3" s="12" t="s">
        <v>137</v>
      </c>
      <c r="G3" s="12" t="s">
        <v>138</v>
      </c>
      <c r="H3" s="12" t="s">
        <v>139</v>
      </c>
      <c r="I3" s="12" t="s">
        <v>140</v>
      </c>
    </row>
    <row r="4" spans="1:9">
      <c r="A4" s="18" t="s">
        <v>141</v>
      </c>
      <c r="B4" s="19"/>
      <c r="C4" s="20"/>
      <c r="D4" s="24"/>
      <c r="E4" s="24"/>
      <c r="F4" s="19"/>
      <c r="G4" s="24"/>
      <c r="H4" s="24"/>
      <c r="I4" s="19"/>
    </row>
    <row r="5" spans="1:9">
      <c r="A5" s="13" t="s">
        <v>142</v>
      </c>
      <c r="B5" s="14"/>
      <c r="C5" s="15"/>
      <c r="D5" s="25"/>
      <c r="E5" s="25"/>
      <c r="F5" s="14"/>
      <c r="G5" s="25"/>
      <c r="H5" s="25"/>
      <c r="I5" s="14"/>
    </row>
    <row r="6" spans="1:9">
      <c r="A6" s="18" t="s">
        <v>143</v>
      </c>
      <c r="B6" s="19"/>
      <c r="C6" s="20"/>
      <c r="D6" s="24"/>
      <c r="E6" s="24"/>
      <c r="F6" s="19"/>
      <c r="G6" s="24"/>
      <c r="H6" s="24"/>
      <c r="I6" s="19"/>
    </row>
    <row r="7" spans="1:9">
      <c r="A7" s="13" t="s">
        <v>144</v>
      </c>
      <c r="B7" s="14"/>
      <c r="C7" s="15"/>
      <c r="D7" s="25"/>
      <c r="E7" s="25"/>
      <c r="F7" s="14"/>
      <c r="G7" s="25"/>
      <c r="H7" s="25"/>
      <c r="I7" s="14"/>
    </row>
    <row r="8" spans="1:9">
      <c r="A8" s="18" t="s">
        <v>145</v>
      </c>
      <c r="B8" s="19"/>
      <c r="C8" s="20"/>
      <c r="D8" s="24"/>
      <c r="E8" s="24"/>
      <c r="F8" s="19"/>
      <c r="G8" s="24"/>
      <c r="H8" s="24"/>
      <c r="I8" s="19"/>
    </row>
    <row r="9" spans="1:9">
      <c r="A9" s="13" t="s">
        <v>146</v>
      </c>
      <c r="B9" s="14"/>
      <c r="C9" s="15"/>
      <c r="D9" s="25"/>
      <c r="E9" s="25"/>
      <c r="F9" s="14"/>
      <c r="G9" s="25"/>
      <c r="H9" s="25"/>
      <c r="I9" s="14"/>
    </row>
    <row r="10" spans="1:9">
      <c r="A10" s="18" t="s">
        <v>147</v>
      </c>
      <c r="B10" s="19"/>
      <c r="C10" s="20"/>
      <c r="D10" s="24"/>
      <c r="E10" s="24"/>
      <c r="F10" s="19"/>
      <c r="G10" s="24"/>
      <c r="H10" s="24"/>
      <c r="I10" s="19"/>
    </row>
    <row r="11" spans="1:9">
      <c r="A11" s="13" t="s">
        <v>148</v>
      </c>
      <c r="B11" s="14"/>
      <c r="C11" s="15"/>
      <c r="D11" s="25"/>
      <c r="E11" s="25"/>
      <c r="F11" s="14"/>
      <c r="G11" s="25"/>
      <c r="H11" s="25"/>
      <c r="I11" s="14"/>
    </row>
    <row r="12" spans="1:9">
      <c r="A12" s="18" t="s">
        <v>149</v>
      </c>
      <c r="B12" s="19"/>
      <c r="C12" s="20"/>
      <c r="D12" s="24"/>
      <c r="E12" s="24"/>
      <c r="F12" s="19"/>
      <c r="G12" s="24"/>
      <c r="H12" s="24"/>
      <c r="I12" s="19"/>
    </row>
    <row r="13" spans="1:9">
      <c r="A13" s="13" t="s">
        <v>150</v>
      </c>
      <c r="B13" s="14"/>
      <c r="C13" s="15"/>
      <c r="D13" s="25"/>
      <c r="E13" s="25"/>
      <c r="F13" s="14"/>
      <c r="G13" s="25"/>
      <c r="H13" s="25"/>
      <c r="I13" s="14"/>
    </row>
    <row r="14" spans="1:9">
      <c r="A14" s="18" t="s">
        <v>151</v>
      </c>
      <c r="B14" s="19"/>
      <c r="C14" s="20"/>
      <c r="D14" s="24"/>
      <c r="E14" s="24"/>
      <c r="F14" s="19"/>
      <c r="G14" s="24"/>
      <c r="H14" s="24"/>
      <c r="I14" s="19"/>
    </row>
    <row r="15" spans="1:9">
      <c r="A15" s="13" t="s">
        <v>152</v>
      </c>
      <c r="B15" s="14"/>
      <c r="C15" s="15"/>
      <c r="D15" s="25"/>
      <c r="E15" s="25"/>
      <c r="F15" s="14"/>
      <c r="G15" s="25"/>
      <c r="H15" s="25"/>
      <c r="I15" s="14"/>
    </row>
    <row r="16" spans="1:9">
      <c r="A16" s="18" t="s">
        <v>153</v>
      </c>
      <c r="B16" s="19"/>
      <c r="C16" s="20"/>
      <c r="D16" s="24"/>
      <c r="E16" s="24"/>
      <c r="F16" s="19"/>
      <c r="G16" s="24"/>
      <c r="H16" s="24"/>
      <c r="I16" s="19"/>
    </row>
    <row r="17" spans="1:9">
      <c r="A17" s="13" t="s">
        <v>154</v>
      </c>
      <c r="B17" s="14"/>
      <c r="C17" s="15"/>
      <c r="D17" s="25"/>
      <c r="E17" s="25"/>
      <c r="F17" s="14"/>
      <c r="G17" s="25"/>
      <c r="H17" s="25"/>
      <c r="I17" s="14"/>
    </row>
    <row r="18" spans="1:9">
      <c r="A18" s="18" t="s">
        <v>155</v>
      </c>
      <c r="B18" s="19"/>
      <c r="C18" s="20"/>
      <c r="D18" s="24"/>
      <c r="E18" s="24"/>
      <c r="F18" s="19"/>
      <c r="G18" s="24"/>
      <c r="H18" s="24"/>
      <c r="I18" s="19"/>
    </row>
    <row r="19" spans="1:9">
      <c r="A19" s="13" t="s">
        <v>156</v>
      </c>
      <c r="B19" s="14"/>
      <c r="C19" s="15"/>
      <c r="D19" s="25"/>
      <c r="E19" s="25"/>
      <c r="F19" s="14"/>
      <c r="G19" s="25"/>
      <c r="H19" s="25"/>
      <c r="I19" s="14"/>
    </row>
    <row r="20" spans="1:9">
      <c r="A20" s="18" t="s">
        <v>157</v>
      </c>
      <c r="B20" s="19"/>
      <c r="C20" s="20"/>
      <c r="D20" s="24"/>
      <c r="E20" s="24"/>
      <c r="F20" s="19"/>
      <c r="G20" s="24"/>
      <c r="H20" s="24"/>
      <c r="I20" s="19"/>
    </row>
    <row r="21" spans="1:9">
      <c r="A21" s="13" t="s">
        <v>158</v>
      </c>
      <c r="B21" s="14"/>
      <c r="C21" s="15"/>
      <c r="D21" s="25"/>
      <c r="E21" s="25"/>
      <c r="F21" s="14"/>
      <c r="G21" s="25"/>
      <c r="H21" s="25"/>
      <c r="I21" s="14"/>
    </row>
    <row r="22" spans="1:9">
      <c r="A22" s="18" t="s">
        <v>159</v>
      </c>
      <c r="B22" s="19"/>
      <c r="C22" s="20"/>
      <c r="D22" s="24"/>
      <c r="E22" s="24"/>
      <c r="F22" s="19"/>
      <c r="G22" s="24"/>
      <c r="H22" s="24"/>
      <c r="I22" s="19"/>
    </row>
    <row r="23" spans="1:9">
      <c r="A23" s="13" t="s">
        <v>160</v>
      </c>
      <c r="B23" s="14"/>
      <c r="C23" s="15"/>
      <c r="D23" s="25"/>
      <c r="E23" s="25"/>
      <c r="F23" s="14"/>
      <c r="G23" s="25"/>
      <c r="H23" s="25"/>
      <c r="I23" s="14"/>
    </row>
    <row r="24" spans="1:9">
      <c r="A24" s="18" t="s">
        <v>161</v>
      </c>
      <c r="B24" s="19"/>
      <c r="C24" s="20"/>
      <c r="D24" s="24"/>
      <c r="E24" s="24"/>
      <c r="F24" s="19"/>
      <c r="G24" s="24"/>
      <c r="H24" s="24"/>
      <c r="I24" s="19"/>
    </row>
    <row r="25" spans="1:9">
      <c r="A25" s="13" t="s">
        <v>162</v>
      </c>
      <c r="B25" s="14"/>
      <c r="C25" s="15"/>
      <c r="D25" s="25"/>
      <c r="E25" s="25"/>
      <c r="F25" s="14"/>
      <c r="G25" s="25"/>
      <c r="H25" s="25"/>
      <c r="I25" s="14"/>
    </row>
    <row r="26" spans="1:9">
      <c r="A26" s="18" t="s">
        <v>163</v>
      </c>
      <c r="B26" s="19"/>
      <c r="C26" s="20"/>
      <c r="D26" s="24"/>
      <c r="E26" s="24"/>
      <c r="F26" s="19"/>
      <c r="G26" s="24"/>
      <c r="H26" s="24"/>
      <c r="I26" s="19"/>
    </row>
    <row r="27" spans="1:9">
      <c r="A27" s="13" t="s">
        <v>164</v>
      </c>
      <c r="B27" s="14"/>
      <c r="C27" s="15"/>
      <c r="D27" s="25"/>
      <c r="E27" s="25"/>
      <c r="F27" s="14"/>
      <c r="G27" s="25"/>
      <c r="H27" s="25"/>
      <c r="I27" s="14"/>
    </row>
    <row r="28" spans="1:9">
      <c r="A28" s="18" t="s">
        <v>165</v>
      </c>
      <c r="B28" s="19"/>
      <c r="C28" s="20"/>
      <c r="D28" s="24"/>
      <c r="E28" s="24"/>
      <c r="F28" s="19"/>
      <c r="G28" s="24"/>
      <c r="H28" s="24"/>
      <c r="I28" s="19"/>
    </row>
    <row r="29" spans="1:9">
      <c r="A29" s="13" t="s">
        <v>166</v>
      </c>
      <c r="B29" s="14"/>
      <c r="C29" s="15"/>
      <c r="D29" s="25"/>
      <c r="E29" s="25"/>
      <c r="F29" s="14"/>
      <c r="G29" s="25"/>
      <c r="H29" s="25"/>
      <c r="I29" s="14"/>
    </row>
    <row r="30" spans="1:9">
      <c r="A30" s="18" t="s">
        <v>167</v>
      </c>
      <c r="B30" s="19"/>
      <c r="C30" s="20"/>
      <c r="D30" s="24"/>
      <c r="E30" s="24"/>
      <c r="F30" s="19"/>
      <c r="G30" s="24"/>
      <c r="H30" s="24"/>
      <c r="I30" s="19"/>
    </row>
    <row r="31" spans="1:9">
      <c r="A31" s="13" t="s">
        <v>168</v>
      </c>
      <c r="B31" s="14"/>
      <c r="C31" s="15"/>
      <c r="D31" s="25"/>
      <c r="E31" s="25"/>
      <c r="F31" s="14"/>
      <c r="G31" s="25"/>
      <c r="H31" s="25"/>
      <c r="I31" s="14"/>
    </row>
    <row r="32" spans="1:9">
      <c r="A32" s="18" t="s">
        <v>169</v>
      </c>
      <c r="B32" s="19"/>
      <c r="C32" s="20"/>
      <c r="D32" s="24"/>
      <c r="E32" s="24"/>
      <c r="F32" s="19"/>
      <c r="G32" s="24"/>
      <c r="H32" s="24"/>
      <c r="I32" s="19"/>
    </row>
    <row r="33" spans="1:9">
      <c r="A33" s="13" t="s">
        <v>170</v>
      </c>
      <c r="B33" s="14"/>
      <c r="C33" s="15"/>
      <c r="D33" s="25"/>
      <c r="E33" s="25"/>
      <c r="F33" s="14"/>
      <c r="G33" s="25"/>
      <c r="H33" s="25"/>
      <c r="I33" s="14"/>
    </row>
    <row r="34" spans="1:9">
      <c r="A34" s="18" t="s">
        <v>171</v>
      </c>
      <c r="B34" s="19"/>
      <c r="C34" s="20"/>
      <c r="D34" s="24"/>
      <c r="E34" s="24"/>
      <c r="F34" s="19"/>
      <c r="G34" s="24"/>
      <c r="H34" s="24"/>
      <c r="I34" s="19"/>
    </row>
    <row r="35" spans="1:9">
      <c r="A35" s="13" t="s">
        <v>172</v>
      </c>
      <c r="B35" s="14"/>
      <c r="C35" s="15"/>
      <c r="D35" s="25"/>
      <c r="E35" s="25"/>
      <c r="F35" s="14"/>
      <c r="G35" s="25"/>
      <c r="H35" s="25"/>
      <c r="I35" s="14"/>
    </row>
    <row r="36" spans="1:9">
      <c r="A36" s="18" t="s">
        <v>173</v>
      </c>
      <c r="B36" s="19"/>
      <c r="C36" s="20"/>
      <c r="D36" s="24"/>
      <c r="E36" s="24"/>
      <c r="F36" s="19"/>
      <c r="G36" s="24"/>
      <c r="H36" s="24"/>
      <c r="I36" s="19"/>
    </row>
    <row r="37" spans="1:9">
      <c r="A37" s="13" t="s">
        <v>174</v>
      </c>
      <c r="B37" s="14"/>
      <c r="C37" s="15"/>
      <c r="D37" s="25"/>
      <c r="E37" s="25"/>
      <c r="F37" s="14"/>
      <c r="G37" s="25"/>
      <c r="H37" s="25"/>
      <c r="I37" s="14"/>
    </row>
    <row r="38" spans="1:9">
      <c r="A38" s="18" t="s">
        <v>175</v>
      </c>
      <c r="B38" s="19"/>
      <c r="C38" s="20"/>
      <c r="D38" s="24"/>
      <c r="E38" s="24"/>
      <c r="F38" s="19"/>
      <c r="G38" s="24"/>
      <c r="H38" s="24"/>
      <c r="I38" s="19"/>
    </row>
    <row r="39" spans="1:9">
      <c r="A39" s="13" t="s">
        <v>176</v>
      </c>
      <c r="B39" s="14"/>
      <c r="C39" s="15"/>
      <c r="D39" s="25"/>
      <c r="E39" s="25"/>
      <c r="F39" s="14"/>
      <c r="G39" s="25"/>
      <c r="H39" s="25"/>
      <c r="I39" s="14"/>
    </row>
    <row r="40" spans="1:9">
      <c r="A40" s="18" t="s">
        <v>177</v>
      </c>
      <c r="B40" s="19"/>
      <c r="C40" s="20"/>
      <c r="D40" s="24"/>
      <c r="E40" s="24"/>
      <c r="F40" s="19"/>
      <c r="G40" s="24"/>
      <c r="H40" s="24"/>
      <c r="I40" s="19"/>
    </row>
    <row r="41" spans="1:9">
      <c r="A41" s="13" t="s">
        <v>178</v>
      </c>
      <c r="B41" s="14"/>
      <c r="C41" s="15"/>
      <c r="D41" s="25"/>
      <c r="E41" s="25"/>
      <c r="F41" s="14"/>
      <c r="G41" s="25"/>
      <c r="H41" s="25"/>
      <c r="I41" s="14"/>
    </row>
    <row r="42" spans="1:9">
      <c r="A42" s="18" t="s">
        <v>179</v>
      </c>
      <c r="B42" s="19"/>
      <c r="C42" s="20"/>
      <c r="D42" s="24"/>
      <c r="E42" s="24"/>
      <c r="F42" s="19"/>
      <c r="G42" s="24"/>
      <c r="H42" s="24"/>
      <c r="I42" s="19"/>
    </row>
    <row r="43" spans="1:9">
      <c r="A43" s="13" t="s">
        <v>180</v>
      </c>
      <c r="B43" s="14"/>
      <c r="C43" s="15"/>
      <c r="D43" s="25"/>
      <c r="E43" s="25"/>
      <c r="F43" s="14"/>
      <c r="G43" s="25"/>
      <c r="H43" s="25"/>
      <c r="I43" s="14"/>
    </row>
    <row r="44" spans="1:9">
      <c r="A44" s="18" t="s">
        <v>181</v>
      </c>
      <c r="B44" s="19"/>
      <c r="C44" s="20"/>
      <c r="D44" s="24"/>
      <c r="E44" s="24"/>
      <c r="F44" s="19"/>
      <c r="G44" s="24"/>
      <c r="H44" s="24"/>
      <c r="I44" s="19"/>
    </row>
    <row r="45" spans="1:9">
      <c r="A45" s="13" t="s">
        <v>182</v>
      </c>
      <c r="B45" s="14"/>
      <c r="C45" s="15"/>
      <c r="D45" s="25"/>
      <c r="E45" s="25"/>
      <c r="F45" s="14"/>
      <c r="G45" s="25"/>
      <c r="H45" s="25"/>
      <c r="I45" s="14"/>
    </row>
    <row r="46" spans="1:9">
      <c r="A46" s="18" t="s">
        <v>183</v>
      </c>
      <c r="B46" s="19"/>
      <c r="C46" s="20"/>
      <c r="D46" s="24"/>
      <c r="E46" s="24"/>
      <c r="F46" s="19"/>
      <c r="G46" s="24"/>
      <c r="H46" s="24"/>
      <c r="I46" s="19"/>
    </row>
    <row r="47" spans="1:9">
      <c r="A47" s="13" t="s">
        <v>184</v>
      </c>
      <c r="B47" s="14"/>
      <c r="C47" s="15"/>
      <c r="D47" s="25"/>
      <c r="E47" s="25"/>
      <c r="F47" s="14"/>
      <c r="G47" s="25"/>
      <c r="H47" s="25"/>
      <c r="I47" s="14"/>
    </row>
    <row r="48" spans="1:9">
      <c r="A48" s="18" t="s">
        <v>185</v>
      </c>
      <c r="B48" s="19"/>
      <c r="C48" s="20"/>
      <c r="D48" s="24"/>
      <c r="E48" s="24"/>
      <c r="F48" s="19"/>
      <c r="G48" s="24"/>
      <c r="H48" s="24"/>
      <c r="I48" s="19"/>
    </row>
    <row r="49" spans="1:9">
      <c r="A49" s="13" t="s">
        <v>186</v>
      </c>
      <c r="B49" s="14"/>
      <c r="C49" s="15"/>
      <c r="D49" s="25"/>
      <c r="E49" s="25"/>
      <c r="F49" s="14"/>
      <c r="G49" s="25"/>
      <c r="H49" s="25"/>
      <c r="I49" s="14"/>
    </row>
    <row r="50" spans="1:9">
      <c r="A50" s="18" t="s">
        <v>187</v>
      </c>
      <c r="B50" s="19"/>
      <c r="C50" s="20"/>
      <c r="D50" s="24"/>
      <c r="E50" s="24"/>
      <c r="F50" s="19"/>
      <c r="G50" s="24"/>
      <c r="H50" s="24"/>
      <c r="I50" s="19"/>
    </row>
    <row r="51" spans="1:9">
      <c r="A51" s="13" t="s">
        <v>188</v>
      </c>
      <c r="B51" s="14"/>
      <c r="C51" s="15"/>
      <c r="D51" s="25"/>
      <c r="E51" s="25"/>
      <c r="F51" s="14"/>
      <c r="G51" s="25"/>
      <c r="H51" s="25"/>
      <c r="I51" s="14"/>
    </row>
    <row r="52" spans="1:9">
      <c r="A52" s="18" t="s">
        <v>189</v>
      </c>
      <c r="B52" s="19"/>
      <c r="C52" s="20"/>
      <c r="D52" s="24"/>
      <c r="E52" s="24"/>
      <c r="F52" s="19"/>
      <c r="G52" s="24"/>
      <c r="H52" s="24"/>
      <c r="I52" s="19"/>
    </row>
    <row r="53" spans="1:9">
      <c r="A53" s="13" t="s">
        <v>190</v>
      </c>
      <c r="B53" s="14"/>
      <c r="C53" s="15"/>
      <c r="D53" s="25"/>
      <c r="E53" s="25"/>
      <c r="F53" s="14"/>
      <c r="G53" s="25"/>
      <c r="H53" s="25"/>
      <c r="I53" s="14"/>
    </row>
    <row r="55" spans="1:9">
      <c r="A55" s="22" t="s">
        <v>191</v>
      </c>
      <c r="B55" s="22"/>
      <c r="C55" s="22"/>
      <c r="D55" s="22"/>
      <c r="E55" s="22"/>
      <c r="F55" s="22"/>
      <c r="G55" s="22"/>
      <c r="H55" s="22"/>
      <c r="I55" s="22"/>
    </row>
  </sheetData>
  <sheetProtection sheet="1" objects="1" scenarios="1"/>
  <mergeCells count="3">
    <mergeCell ref="A1:I1"/>
    <mergeCell ref="A2:I2"/>
    <mergeCell ref="A55:I55"/>
  </mergeCells>
  <dataValidations count="2">
    <dataValidation type="list" allowBlank="1" showInputMessage="1" showErrorMessage="1" sqref="C4:C53">
      <formula1>"Early warning (≤24u),Incidentmelding (≤72u),Eindrapport (≤30d),Aanvullende info"</formula1>
    </dataValidation>
    <dataValidation type="list" allowBlank="1" showInputMessage="1" showErrorMessage="1" sqref="H4:H53">
      <formula1>"Verzonden,Ontvangen bevestiging,Aanvullende vragen,Gesloten"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4.7109375" customWidth="1"/>
    <col min="2" max="2" width="28.7109375" customWidth="1"/>
    <col min="3" max="3" width="65.7109375" customWidth="1"/>
  </cols>
  <sheetData>
    <row r="1" spans="1:3" ht="40" customHeight="1">
      <c r="A1" s="1" t="s">
        <v>192</v>
      </c>
      <c r="B1" s="1"/>
      <c r="C1" s="1"/>
    </row>
    <row r="2" spans="1:3" ht="22" customHeight="1">
      <c r="A2" s="26" t="s">
        <v>193</v>
      </c>
      <c r="B2" s="26"/>
      <c r="C2" s="26"/>
    </row>
    <row r="4" spans="1:3" ht="22" customHeight="1">
      <c r="A4" s="27" t="s">
        <v>194</v>
      </c>
      <c r="B4" s="27"/>
      <c r="C4" s="27"/>
    </row>
    <row r="5" spans="1:3" ht="22" customHeight="1">
      <c r="A5" s="28"/>
      <c r="B5" s="29" t="s">
        <v>195</v>
      </c>
      <c r="C5" s="28" t="s">
        <v>196</v>
      </c>
    </row>
    <row r="6" spans="1:3" ht="22" customHeight="1">
      <c r="A6" s="30"/>
      <c r="B6" s="29" t="s">
        <v>197</v>
      </c>
      <c r="C6" s="30" t="s">
        <v>198</v>
      </c>
    </row>
    <row r="7" spans="1:3" ht="22" customHeight="1">
      <c r="A7" s="28"/>
      <c r="B7" s="29" t="s">
        <v>199</v>
      </c>
      <c r="C7" s="28" t="s">
        <v>200</v>
      </c>
    </row>
    <row r="8" spans="1:3" ht="22" customHeight="1">
      <c r="A8" s="30"/>
      <c r="B8" s="29" t="s">
        <v>201</v>
      </c>
      <c r="C8" s="30" t="s">
        <v>202</v>
      </c>
    </row>
    <row r="9" spans="1:3" ht="22" customHeight="1">
      <c r="A9" s="28"/>
      <c r="B9" s="29" t="s">
        <v>203</v>
      </c>
      <c r="C9" s="28" t="s">
        <v>204</v>
      </c>
    </row>
    <row r="10" spans="1:3" ht="22" customHeight="1">
      <c r="A10" s="30"/>
      <c r="B10" s="29" t="s">
        <v>205</v>
      </c>
      <c r="C10" s="30" t="s">
        <v>206</v>
      </c>
    </row>
    <row r="11" spans="1:3" ht="22" customHeight="1">
      <c r="A11" s="28"/>
      <c r="B11" s="29" t="s">
        <v>207</v>
      </c>
      <c r="C11" s="28" t="s">
        <v>208</v>
      </c>
    </row>
    <row r="12" spans="1:3" ht="22" customHeight="1">
      <c r="A12" s="27" t="s">
        <v>209</v>
      </c>
      <c r="B12" s="27"/>
      <c r="C12" s="27"/>
    </row>
    <row r="13" spans="1:3" ht="22" customHeight="1">
      <c r="A13" s="28"/>
      <c r="B13" s="29" t="s">
        <v>210</v>
      </c>
      <c r="C13" s="28" t="s">
        <v>211</v>
      </c>
    </row>
    <row r="14" spans="1:3" ht="22" customHeight="1">
      <c r="A14" s="30"/>
      <c r="B14" s="29" t="s">
        <v>212</v>
      </c>
      <c r="C14" s="30" t="s">
        <v>213</v>
      </c>
    </row>
    <row r="15" spans="1:3" ht="22" customHeight="1">
      <c r="A15" s="28"/>
      <c r="B15" s="29" t="s">
        <v>214</v>
      </c>
      <c r="C15" s="28" t="s">
        <v>215</v>
      </c>
    </row>
    <row r="16" spans="1:3" ht="22" customHeight="1">
      <c r="A16" s="27" t="s">
        <v>216</v>
      </c>
      <c r="B16" s="27"/>
      <c r="C16" s="27"/>
    </row>
    <row r="17" spans="1:3" ht="22" customHeight="1">
      <c r="A17" s="28"/>
      <c r="B17" s="29" t="s">
        <v>217</v>
      </c>
      <c r="C17" s="28" t="s">
        <v>218</v>
      </c>
    </row>
    <row r="18" spans="1:3" ht="22" customHeight="1">
      <c r="A18" s="30"/>
      <c r="B18" s="29" t="s">
        <v>219</v>
      </c>
      <c r="C18" s="30" t="s">
        <v>220</v>
      </c>
    </row>
    <row r="19" spans="1:3" ht="22" customHeight="1">
      <c r="A19" s="28"/>
      <c r="B19" s="29" t="s">
        <v>221</v>
      </c>
      <c r="C19" s="28" t="s">
        <v>222</v>
      </c>
    </row>
    <row r="20" spans="1:3" ht="22" customHeight="1">
      <c r="A20" s="30"/>
      <c r="B20" s="29" t="s">
        <v>223</v>
      </c>
      <c r="C20" s="30" t="s">
        <v>224</v>
      </c>
    </row>
    <row r="21" spans="1:3" ht="22" customHeight="1">
      <c r="A21" s="28"/>
      <c r="B21" s="29" t="s">
        <v>225</v>
      </c>
      <c r="C21" s="28" t="s">
        <v>226</v>
      </c>
    </row>
    <row r="22" spans="1:3" ht="22" customHeight="1">
      <c r="A22" s="30"/>
      <c r="B22" s="29" t="s">
        <v>227</v>
      </c>
      <c r="C22" s="30" t="s">
        <v>228</v>
      </c>
    </row>
    <row r="23" spans="1:3" ht="22" customHeight="1">
      <c r="A23" s="28"/>
      <c r="B23" s="29" t="s">
        <v>229</v>
      </c>
      <c r="C23" s="28" t="s">
        <v>230</v>
      </c>
    </row>
    <row r="24" spans="1:3" ht="22" customHeight="1">
      <c r="A24" s="27" t="s">
        <v>231</v>
      </c>
      <c r="B24" s="27"/>
      <c r="C24" s="27"/>
    </row>
    <row r="25" spans="1:3" ht="22" customHeight="1">
      <c r="A25" s="28"/>
      <c r="B25" s="29" t="s">
        <v>232</v>
      </c>
      <c r="C25" s="28" t="s">
        <v>233</v>
      </c>
    </row>
    <row r="26" spans="1:3" ht="22" customHeight="1">
      <c r="A26" s="30"/>
      <c r="B26" s="29" t="s">
        <v>234</v>
      </c>
      <c r="C26" s="30" t="s">
        <v>235</v>
      </c>
    </row>
    <row r="27" spans="1:3" ht="22" customHeight="1">
      <c r="A27" s="28"/>
      <c r="B27" s="29" t="s">
        <v>236</v>
      </c>
      <c r="C27" s="28" t="s">
        <v>237</v>
      </c>
    </row>
    <row r="28" spans="1:3" ht="22" customHeight="1">
      <c r="A28" s="30"/>
      <c r="B28" s="29" t="s">
        <v>238</v>
      </c>
      <c r="C28" s="30" t="s">
        <v>239</v>
      </c>
    </row>
    <row r="30" spans="1:3" ht="18" customHeight="1">
      <c r="A30" s="31" t="s">
        <v>240</v>
      </c>
      <c r="B30" s="31"/>
      <c r="C30" s="31"/>
    </row>
    <row r="31" spans="1:3">
      <c r="A31" s="22" t="s">
        <v>191</v>
      </c>
      <c r="B31" s="22"/>
      <c r="C31" s="22"/>
    </row>
  </sheetData>
  <sheetProtection sheet="1" objects="1" scenarios="1"/>
  <mergeCells count="8">
    <mergeCell ref="A1:C1"/>
    <mergeCell ref="A2:C2"/>
    <mergeCell ref="A4:C4"/>
    <mergeCell ref="A12:C12"/>
    <mergeCell ref="A16:C16"/>
    <mergeCell ref="A24:C24"/>
    <mergeCell ref="A30:C30"/>
    <mergeCell ref="A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Incidentenlog</vt:lpstr>
      <vt:lpstr>NCSC Meldingen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2026-06-08T08:10:20Z</dcterms:created>
  <dcterms:modified xsi:type="dcterms:W3CDTF">2026-06-08T08:10:20Z</dcterms:modified>
</cp:coreProperties>
</file>