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bruikswijzer" sheetId="1" r:id="rId1"/>
    <sheet name="Energie" sheetId="2" r:id="rId2"/>
    <sheet name="Transport" sheetId="3" r:id="rId3"/>
    <sheet name="Gezondheidszorg" sheetId="4" r:id="rId4"/>
    <sheet name="Water" sheetId="5" r:id="rId5"/>
    <sheet name="Digitale Dienstverleners" sheetId="6" r:id="rId6"/>
    <sheet name="Scoringsgids" sheetId="7" r:id="rId7"/>
  </sheets>
  <calcPr calcId="124519" fullCalcOnLoad="1"/>
</workbook>
</file>

<file path=xl/sharedStrings.xml><?xml version="1.0" encoding="utf-8"?>
<sst xmlns="http://schemas.openxmlformats.org/spreadsheetml/2006/main" count="2106" uniqueCount="426">
  <si>
    <t>NIS2 DREIGINGSCATALOGUS — Sectorspecifieke Risico's &amp; Voorscores</t>
  </si>
  <si>
    <t>Instrument · Fase 2 Voorbereiding · MKBTechGids NIS2 Compliance Toolkit</t>
  </si>
  <si>
    <t>Versie 1.0  ·  07-06-2026  ·  Cyberbeveiligingswet (NIS2) Art. 21(2)</t>
  </si>
  <si>
    <t>HOE GEBRUIKT U DEZE DREIGINGSCATALOGUS?</t>
  </si>
  <si>
    <t>Stap 1</t>
  </si>
  <si>
    <t>Ga naar het tabblad van uw sector (Energie / Transport / Gezondheidszorg / Water / Digitale Dienstverleners)</t>
  </si>
  <si>
    <t>Stap 2</t>
  </si>
  <si>
    <t>Bekijk de 40+ voorgescoorde dreigingen voor uw sector. W = Waarschijnlijkheid (1–5), I = Impact (1–5).</t>
  </si>
  <si>
    <t>Stap 3</t>
  </si>
  <si>
    <t>De kolommen "Referentie W" en "Referentie I" zijn onze benchmark-inschatting — gebaseerd op ENISA-dreigingslandschappen en NCSC NL-dreigingsbeelden.</t>
  </si>
  <si>
    <t>Stap 4</t>
  </si>
  <si>
    <t>Pas in kolommen "Uw W" en "Uw I" de scores aan op basis van uw specifieke organisatiecontext. Uw aanpassingen overschrijven de benchmark.</t>
  </si>
  <si>
    <t>Stap 5</t>
  </si>
  <si>
    <t>Markeer elke dreiging in kolom "Relevant?" als Ja / Nee / Deels. Voeg toe aan risicoregister: Ja / Nee.</t>
  </si>
  <si>
    <t>Stap 6</t>
  </si>
  <si>
    <t>Kopieer dreigingen gemarkeerd "Risicoregister: Ja" naar het NIS2-Risicoregister XLSX. Gebruik de voorscore als startpunt.</t>
  </si>
  <si>
    <t>Stap 7</t>
  </si>
  <si>
    <t>Bewaar de ingevulde catalogus als versiedbewijs voor toezichthouder (samen met Risicoregister en Module 2).</t>
  </si>
  <si>
    <t>BESCHIKBARE SECTOREN IN DEZE CATALOGUS</t>
  </si>
  <si>
    <t>Energie</t>
  </si>
  <si>
    <t>Energieopwekking, -distributie en -levering (elektriciteit, gas, olie). Primaire entiteiten Cyberbeveiligingswet.</t>
  </si>
  <si>
    <t>Transport</t>
  </si>
  <si>
    <t>Wegvervoer, spoorwegen, binnenvaart, luchtvaartlogistiek. Inclusief haveninstellingen en luchthavenbeheer.</t>
  </si>
  <si>
    <t>Gezondheidszorg</t>
  </si>
  <si>
    <t>Ziekenhuizen, klinieken, farmacie, medische hulpmiddelen. Bijzondere zorgplicht voor patiëntveiligheid.</t>
  </si>
  <si>
    <t>Water</t>
  </si>
  <si>
    <t>Drinkwaterbedrijven en afvalwaterbeheer. OT-zware omgeving met directe volksgezondheidsimpact.</t>
  </si>
  <si>
    <t>Digitale Dienstverleners</t>
  </si>
  <si>
    <t>MSP's, cloud-providers, datacenters, internetknooppunten, DNS-providers. Ketenrisico voor alle andere sectoren.</t>
  </si>
  <si>
    <t>INFORMATIE ORGANISATIE (vul hier in)</t>
  </si>
  <si>
    <t>Organisatienaam</t>
  </si>
  <si>
    <t>{{BEDRIJFSNAAM}}</t>
  </si>
  <si>
    <t>Sector</t>
  </si>
  <si>
    <t>{{SECTOR}}</t>
  </si>
  <si>
    <t>Datum analyse</t>
  </si>
  <si>
    <t>{{DATUM}}</t>
  </si>
  <si>
    <t>Uitgevoerd door</t>
  </si>
  <si>
    <t>{{NAAM ANALIST}}</t>
  </si>
  <si>
    <t>Versie</t>
  </si>
  <si>
    <t>1.0</t>
  </si>
  <si>
    <t>SCORINGSDEFINITIES (zie ook tabblad Scoringsgids)</t>
  </si>
  <si>
    <t>W=1 Zelden</t>
  </si>
  <si>
    <t>&lt;1× per 10 jaar — theoretisch aanwezig in sector</t>
  </si>
  <si>
    <t>W=2 Onwaarschijnlijk</t>
  </si>
  <si>
    <t>1× per 5–10 jaar — incidenteel gerapporteerd in vergelijkbare organisaties</t>
  </si>
  <si>
    <t>W=3 Mogelijk</t>
  </si>
  <si>
    <t>1× per 1–5 jaar — regelmatig gerapporteerd in sector</t>
  </si>
  <si>
    <t>W=4 Waarschijnlijk</t>
  </si>
  <si>
    <t>Meerdere keren per jaar — actief uitgebuit in sector</t>
  </si>
  <si>
    <t>W=5 Bijna zeker</t>
  </si>
  <si>
    <t>Meerdere keren per maand — aantoonbare en doorlopende dreiging</t>
  </si>
  <si>
    <t>I=1 Verwaarloosbaar</t>
  </si>
  <si>
    <t>&lt;€5.000 directe schade — snel herstelbaar zonder externe melding</t>
  </si>
  <si>
    <t>I=2 Klein</t>
  </si>
  <si>
    <t>€5.000–€50.000 — tijdelijke verstoring, intern oplosbaar</t>
  </si>
  <si>
    <t>I=3 Matig</t>
  </si>
  <si>
    <t>€50.000–€250.000 — significante verstoring, mogelijke reputatieschade</t>
  </si>
  <si>
    <t>I=4 Ernstig</t>
  </si>
  <si>
    <t>€250.000–€1.000.000 — langdurige uitval, juridische gevolgen, NIS2-melding</t>
  </si>
  <si>
    <t>I=5 Catastrofaal</t>
  </si>
  <si>
    <t>&gt;€1.000.000 of existentieel risico — directe NIS2-melding verplicht</t>
  </si>
  <si>
    <t>Bronnen: ENISA NIS2 Threat Landscape 2024 · NCSC NL Cybersecuritybeeld Nederland · MITRE ATT&amp;CK for ICS v14 · ISO/IEC 27005:2022 · Cyberbeveiligingswet (NIS2) Art. 21 &amp; 23 · MKBTechGids NIS2 Compliance Toolkit v1.0</t>
  </si>
  <si>
    <t>MKBTechGids  ·  NIS2 Compliance Toolkit  ·  KVK 27348456  ·  BTW NL004968309B61  ·  mkbtechgids.nl</t>
  </si>
  <si>
    <t>NIS2 DREIGINGSCATALOGUS — ENERGIE</t>
  </si>
  <si>
    <t>Instrument · Fase 2 Voorbereiding · NIS2 Art. 21(2) · mkbtechgids.nl</t>
  </si>
  <si>
    <t>Organisatie:</t>
  </si>
  <si>
    <t>Dreigingen:</t>
  </si>
  <si>
    <t>Kritiek:</t>
  </si>
  <si>
    <t>Hoog:</t>
  </si>
  <si>
    <t>Middel:</t>
  </si>
  <si>
    <t>Datum:</t>
  </si>
  <si>
    <t>⬤ Grijs "Ref W/I" = onze benchmark (gebaseerd op ENISA/NCSC dreigingsdata)  ·  ⬤ Blauw "Uw W/I" = pas aan naar uw organisatiecontext  ·  ⬤ Geel "Relevant?" = Ja/Nee/Deels  ·  ⬤ "Voeg toe aan Risicoregister?" = Ja/Nee  ·  Score = Uw W × Uw I</t>
  </si>
  <si>
    <t>Nr</t>
  </si>
  <si>
    <t>Categorie</t>
  </si>
  <si>
    <t>Dreigingsscenario</t>
  </si>
  <si>
    <t>Beschrijving</t>
  </si>
  <si>
    <t>Ref
W</t>
  </si>
  <si>
    <t>Ref
I</t>
  </si>
  <si>
    <t>Uw
W</t>
  </si>
  <si>
    <t>Uw
I</t>
  </si>
  <si>
    <t>Score
(auto)</t>
  </si>
  <si>
    <t>Prioriteit
(auto)</t>
  </si>
  <si>
    <t>Typische oorzaken</t>
  </si>
  <si>
    <t>Mogelijke gevolgen</t>
  </si>
  <si>
    <t>Relevant?</t>
  </si>
  <si>
    <t>Toelichting</t>
  </si>
  <si>
    <t>NIS2 Artikel</t>
  </si>
  <si>
    <t>ISO 27001</t>
  </si>
  <si>
    <t>R01</t>
  </si>
  <si>
    <t>Malware &amp; Ransomware</t>
  </si>
  <si>
    <t>Ransomware op bedrijfs-IT</t>
  </si>
  <si>
    <t>Versleuteling van servers, werkstations en data door ransomware-groepen; losgeld geëist voor herstel.</t>
  </si>
  <si>
    <t>Phishing-e-mail, RDP-blootstelling, onvoldoende patch management, geen MFA</t>
  </si>
  <si>
    <t>Uitval primaire systemen (dagen tot weken), dataverlies, reputatieschade, meldplicht NIS2 Art. 23</t>
  </si>
  <si>
    <t>Ja</t>
  </si>
  <si>
    <t>Art. 21(2)(b)(e)</t>
  </si>
  <si>
    <t>A.8.7, A.8.13, A.8.14, A.5.26</t>
  </si>
  <si>
    <t>R02</t>
  </si>
  <si>
    <t>Ransomware op OT/SCADA/ICS</t>
  </si>
  <si>
    <t>Versleuteling of verstoring van industriële besturingssystemen; directe impact op operationele continuïteit.</t>
  </si>
  <si>
    <t>IT-OT convergentie zonder segmentatie, verouderde OT-firmware, onbeveiligde remote access op ICS</t>
  </si>
  <si>
    <t>Uitval productie/levering, veiligheidsincidenten, schade aan fysieke infrastructuur, NIS2 meldplicht</t>
  </si>
  <si>
    <t>A.8.7, A.8.14, A.8.19</t>
  </si>
  <si>
    <t>R03</t>
  </si>
  <si>
    <t>Destructive malware (wiper)</t>
  </si>
  <si>
    <t>Kwaadaardige software die gegevens en systemen permanent vernietigt zonder hersteloptie.</t>
  </si>
  <si>
    <t>Geopolitieke dreigingsactoren (APT), supply chain-aanval, spear-phishing via gecompromitteerde partner</t>
  </si>
  <si>
    <t>Permanent gegevensverlies, herstel duurt weken tot maanden, organisatie-existentieel risico</t>
  </si>
  <si>
    <t>Art. 21(2)(b)(c)(e)</t>
  </si>
  <si>
    <t>A.8.7, A.8.13, A.5.26</t>
  </si>
  <si>
    <t>R04</t>
  </si>
  <si>
    <t>Trojan / backdoor installatie</t>
  </si>
  <si>
    <t>Onopgemerkte installatie van malware voor langdurige spionage, datadiefstal of voorbereiding op aanval.</t>
  </si>
  <si>
    <t>Phishing, besmette software-update, kwetsbare webapplicatie, gecompromitteerde leverancier</t>
  </si>
  <si>
    <t>Datadiefstal gedurende maanden, verlies intellectueel eigendom, ondermijning vertrouwen in systemen</t>
  </si>
  <si>
    <t>Art. 21(2)(e)(b)</t>
  </si>
  <si>
    <t>A.8.7, A.8.16, A.8.23</t>
  </si>
  <si>
    <t>R05</t>
  </si>
  <si>
    <t>Cryptominer / Resource hijacking</t>
  </si>
  <si>
    <t>Misbruik van rekenkracht voor cryptocurrency-mining; indicator van ongeautoriseerde toegang.</t>
  </si>
  <si>
    <t>Kwetsbare webservers, onbeveiligde cloud-resources, ongepatchte systemen</t>
  </si>
  <si>
    <t>Prestatieproblemen, verhoogde energiekosten, bewijs van initiële toegang voor ander misbruik</t>
  </si>
  <si>
    <t>Art. 21(2)(e)</t>
  </si>
  <si>
    <t>A.8.7, A.8.8</t>
  </si>
  <si>
    <t>R06</t>
  </si>
  <si>
    <t>Social Engineering</t>
  </si>
  <si>
    <t>Spear-phishing topmanagement / BEC</t>
  </si>
  <si>
    <t>Gerichte aanvallen op directeuren en managers voor fraude (valse betaalopdrachten) of toegang tot systemen.</t>
  </si>
  <si>
    <t>Openbare informatie LinkedIn/website, impersonatie CFO/CEO, dringende betalingsverzoeken</t>
  </si>
  <si>
    <t>Financiële fraude (gem. €150K per incident), toegang tot kritieke systemen, reputatieschade</t>
  </si>
  <si>
    <t>Art. 21(2)(g)(i)</t>
  </si>
  <si>
    <t>A.6.3, A.8.23, A.5.15</t>
  </si>
  <si>
    <t>R07</t>
  </si>
  <si>
    <t>Massale phishing medewerkers</t>
  </si>
  <si>
    <t>Grootschalige phishing-campagnes gericht op medewerkers voor credential-diefstal of malware-verspreiding.</t>
  </si>
  <si>
    <t>Onvoldoende beveiligingsbewustzijn, geen MFA, generieke e-maildomeinen, geen DMARC</t>
  </si>
  <si>
    <t>Credential-compromittering, initiële toegang voor ransomware, lateral movement in netwerk</t>
  </si>
  <si>
    <t>Art. 21(2)(g)(j)</t>
  </si>
  <si>
    <t>A.6.3, A.8.5</t>
  </si>
  <si>
    <t>R08</t>
  </si>
  <si>
    <t>Vishing / pretexting telefonische fraude</t>
  </si>
  <si>
    <t>Telefonische oplichting waarbij medewerkers worden gemanipuleerd om toegang te verlenen of gegevens te delen.</t>
  </si>
  <si>
    <t>Onvoldoende verificatieprocedures, gebrek aan bewustzijnstraining, informatie op sociale media</t>
  </si>
  <si>
    <t>Credential-diefstal, ongeautoriseerde wijzigingen in systemen, directe financiële schade</t>
  </si>
  <si>
    <t>Art. 21(2)(g)</t>
  </si>
  <si>
    <t>A.6.3, A.5.15</t>
  </si>
  <si>
    <t>R09</t>
  </si>
  <si>
    <t>QR-code phishing (Quishing)</t>
  </si>
  <si>
    <t>Gebruik van QR-codes in e-mails of documenten om gebruikers naar malafide websites te leiden.</t>
  </si>
  <si>
    <t>Omzeiling van e-mailfilters die geen QR-codes scannen, gebruik van persoonlijke mobiele apparaten</t>
  </si>
  <si>
    <t>Credential-diefstal, malware-installatie, omzeiling MFA via adversary-in-the-middle aanvallen</t>
  </si>
  <si>
    <t>A.6.3, A.8.23</t>
  </si>
  <si>
    <t>R10</t>
  </si>
  <si>
    <t>Supply Chain</t>
  </si>
  <si>
    <t>Supply chain software-aanval (SolarWinds-type)</t>
  </si>
  <si>
    <t>Compromittering van software-updates of -bibliotheken door aanvaller om via vertrouwde kanalen in te breken.</t>
  </si>
  <si>
    <t>Gecompromitteerde build-pipeline leverancier, manipulatie open-source bibliotheken, zwak code-signaturebeheer</t>
  </si>
  <si>
    <t>Grootschalige compromittering van meerdere organisaties, langdurige onopgemerkte toegang</t>
  </si>
  <si>
    <t>Art. 21(2)(d)(e)</t>
  </si>
  <si>
    <t>A.5.19, A.5.20, A.5.21, A.8.30</t>
  </si>
  <si>
    <t>R11</t>
  </si>
  <si>
    <t>Compromittering managed service provider</t>
  </si>
  <si>
    <t>Aanvaller breekt in via MSP om toegang te verkrijgen tot alle klanten van die provider.</t>
  </si>
  <si>
    <t>Gedeeld beheer zonder adequate segmentatie, zwakke authenticatie bij MSP, beperkt toezicht klant</t>
  </si>
  <si>
    <t>Massale compromittering via één invalshoek, datadiefstal, ransomware bij alle klanten van MSP</t>
  </si>
  <si>
    <t>Art. 21(2)(d)</t>
  </si>
  <si>
    <t>A.5.19, A.5.23</t>
  </si>
  <si>
    <t>R12</t>
  </si>
  <si>
    <t>Kwetsbaar open-source component (Log4Shell-type)</t>
  </si>
  <si>
    <t>Kritieke kwetsbaarheid in een wijdverbreide open-source bibliotheek die in talloze systemen verborgen zit.</t>
  </si>
  <si>
    <t>Onbekende aanwezigheid van componenten (geen SBOM), vertraagde patches, complexe afhankelijkheden</t>
  </si>
  <si>
    <t>Massale blootstelling, remote code execution, vereist volledig softwarebeheer-inventarisatie</t>
  </si>
  <si>
    <t>A.8.8, A.8.30, A.5.20</t>
  </si>
  <si>
    <t>R13</t>
  </si>
  <si>
    <t>Ketenrisico via kritieke leverancier</t>
  </si>
  <si>
    <t>Operationele afhankelijkheid van een leverancier die zelf onvoldoende cybersecure is.</t>
  </si>
  <si>
    <t>Onvoldoende leveranciersscreening, geen contractuele beveiligingseisen, geen exitstrategie</t>
  </si>
  <si>
    <t>Verspreiding van incident naar eigen organisatie, uitval kritieke diensten, boetes ketenzorgplicht</t>
  </si>
  <si>
    <t>A.5.19, A.5.20</t>
  </si>
  <si>
    <t>R14</t>
  </si>
  <si>
    <t>Ongeautoriseerde Toegang</t>
  </si>
  <si>
    <t>Brute force / credential stuffing</t>
  </si>
  <si>
    <t>Geautomatiseerde aanvallen om wachtwoorden te raden via gelekte credential-databases.</t>
  </si>
  <si>
    <t>Ontbreken MFA, geen account-lockout beleid, hergebruik wachtwoorden, gelekte credentials dark web</t>
  </si>
  <si>
    <t>Initiële toegang, account-overname, lateral movement, datadiefstal</t>
  </si>
  <si>
    <t>Art. 21(2)(j)</t>
  </si>
  <si>
    <t>A.8.5, A.8.23</t>
  </si>
  <si>
    <t>R15</t>
  </si>
  <si>
    <t>Gestolen credentials via dark web</t>
  </si>
  <si>
    <t>Gebruik van in eerdere datalekken gestolen inloggegevens die op criminele fora verhandeld worden.</t>
  </si>
  <si>
    <t>Hergebruik wachtwoorden over meerdere diensten, geen monitoring dark web, verouderde wachtwoorden</t>
  </si>
  <si>
    <t>Volledige account-overname, toegang tot bedrijfssystemen, escalatie naar hogere rechten</t>
  </si>
  <si>
    <t>Art. 21(2)(j)(i)</t>
  </si>
  <si>
    <t>A.8.5, A.8.2</t>
  </si>
  <si>
    <t>R16</t>
  </si>
  <si>
    <t>Misbruik geprivilegieerde accounts (admin)</t>
  </si>
  <si>
    <t>Aanvaller verkrijgt admin-rechten en gebruikt deze voor maximale schade of spionage.</t>
  </si>
  <si>
    <t>Zwak PAM-beleid, shared admin accounts, geen just-in-time toegang, onvoldoende monitoring</t>
  </si>
  <si>
    <t>Volledige systeemovername, data-exfiltratie, ransomware-uitrol, OT-systemen bereikbaar</t>
  </si>
  <si>
    <t>Art. 21(2)(i)(j)</t>
  </si>
  <si>
    <t>A.8.2, A.8.18, A.8.5</t>
  </si>
  <si>
    <t>R17</t>
  </si>
  <si>
    <t>Onbeveiligde remote access (RDP/VPN)</t>
  </si>
  <si>
    <t>Blootgestelde remote desktop of VPN-diensten worden aangevallen als primaire inbraakpoort.</t>
  </si>
  <si>
    <t>RDP direct op internet, verouderde VPN-software, geen MFA op remote access, zwakke netwerksegmentatie</t>
  </si>
  <si>
    <t>Initieel compromitteeringskanaal voor 60%+ van ransomware-aanvallen; direct systeem-toegang</t>
  </si>
  <si>
    <t>Art. 21(2)(e)(j)</t>
  </si>
  <si>
    <t>A.8.20, A.8.5, A.8.22</t>
  </si>
  <si>
    <t>R18</t>
  </si>
  <si>
    <t>Authenticatie-bypass via kwetsbaarheid</t>
  </si>
  <si>
    <t>Exploitatie van softwarekwetsbaarheid waarmee aanvaller inlogmechanisme omzeilt.</t>
  </si>
  <si>
    <t>Ongepatchte systemen, verouderde authenticatiebibliothheken, zero-day kwetsbaarheden</t>
  </si>
  <si>
    <t>Directe toegang zonder credentials, omzeiling alle beveiligingscontroles</t>
  </si>
  <si>
    <t>A.8.8, A.8.5</t>
  </si>
  <si>
    <t>R19</t>
  </si>
  <si>
    <t>Datalekken</t>
  </si>
  <si>
    <t>Datalek via webapplicatie (SQLi/XSS)</t>
  </si>
  <si>
    <t>Exploitatie van kwetsbare webapplicatie voor ongeautoriseerde toegang tot databases.</t>
  </si>
  <si>
    <t>Onvoldoende input-validatie, verouderde frameworks, geen web application firewall, slechte code-reviews</t>
  </si>
  <si>
    <t>Diefstal klant-/patiëntdata, AVG-boetes tot 4% wereldwijde omzet, reputatieschade</t>
  </si>
  <si>
    <t>A.8.25, A.8.26, A.8.28</t>
  </si>
  <si>
    <t>R20</t>
  </si>
  <si>
    <t>Cloud misconfiguratie / datablootstelling</t>
  </si>
  <si>
    <t>Onopzettelijk publiek toegankelijke cloud-opslag of databases door foutieve configuratie.</t>
  </si>
  <si>
    <t>Onjuiste S3/Azure Blob permissies, standaardwachtwoorden, gebrek aan cloud security posture management</t>
  </si>
  <si>
    <t>Massale datablootstelling, AVG-melding verplicht, reputatieschade, boetes</t>
  </si>
  <si>
    <t>A.8.7, A.8.23, A.5.23</t>
  </si>
  <si>
    <t>R21</t>
  </si>
  <si>
    <t>Verlies patiënt-/klantdata door datalek</t>
  </si>
  <si>
    <t>Exfiltratie van persoonsgegevens uit systemen, met AVG/GDPR-meldplicht als direct gevolg.</t>
  </si>
  <si>
    <t>Onvoldoende dataminimalisatie, gebrek aan encryptie in rust en transit, te brede toegangsrechten</t>
  </si>
  <si>
    <t>AVG-boetes, verlies patiëntvertrouwen, meldplicht bij Autoriteit Persoonsgegevens, schadeclaims</t>
  </si>
  <si>
    <t>Art. 21(2)(e)(h)</t>
  </si>
  <si>
    <t>A.5.33, A.8.10, A.8.24</t>
  </si>
  <si>
    <t>R22</t>
  </si>
  <si>
    <t>Datalek via derde partij / leverancier</t>
  </si>
  <si>
    <t>Persoonsgegevens of bedrijfsdata lekt via een verwerkende partij zonder adequate beveiligingsmaatregelen.</t>
  </si>
  <si>
    <t>Onvoldoende verwerkersovereenkomsten, geen beveiligingsaudit leveranciers, onduidelijke data-eigendom</t>
  </si>
  <si>
    <t>Aansprakelijkheid voor lek bij derde, AVG-boetes, contractbreuk, reputatieschade</t>
  </si>
  <si>
    <t>R23</t>
  </si>
  <si>
    <t>Beschikbaarheid / DDoS</t>
  </si>
  <si>
    <t>Volumetrische DDoS op primaire dienstverlening</t>
  </si>
  <si>
    <t>Massale aanval op netwerk of diensten om beschikbaarheid te verstoren.</t>
  </si>
  <si>
    <t>Botnets, geopolitieke motivatie, hacktivist-groepen, afpersing via DDoS</t>
  </si>
  <si>
    <t>Uitval klantportalen, onbereikbaarheid kritieke diensten, reputatieschade</t>
  </si>
  <si>
    <t>A.8.6, A.8.20</t>
  </si>
  <si>
    <t>R24</t>
  </si>
  <si>
    <t>Applicatie-DDoS (layer 7)</t>
  </si>
  <si>
    <t>Gerichte aanvallen op webapplicaties die met relatief weinig verkeer grote schade veroorzaken.</t>
  </si>
  <si>
    <t>Kwetsbare webapplicatie-architectuur, geen WAF, geen rate limiting, geen DDoS-mitigatie</t>
  </si>
  <si>
    <t>Uitval webdiensten, hoge serverbelasting, potentieel achterliggende kwetsbaarheidbenutting</t>
  </si>
  <si>
    <t>A.8.6, A.8.28</t>
  </si>
  <si>
    <t>R25</t>
  </si>
  <si>
    <t>BGP-hijacking / DNS-vergiftiging</t>
  </si>
  <si>
    <t>Manipulatie van routeringsprotocollen of DNS om verkeer om te leiden naar aanvaller.</t>
  </si>
  <si>
    <t>Zwak BGP-beleid, ontbreken RPKI, kwetsbare DNS-infrastructuur, onvoldoende monitoring</t>
  </si>
  <si>
    <t>Ongeautoriseerde onderschepping van communicatie, man-in-the-middle aanvallen, uitval diensten</t>
  </si>
  <si>
    <t>A.8.20, A.8.21</t>
  </si>
  <si>
    <t>R26</t>
  </si>
  <si>
    <t>Insider Dreigingen</t>
  </si>
  <si>
    <t>Kwaadwillende insider (sabotage/spionage)</t>
  </si>
  <si>
    <t>Medewerker met boos opzet misbruikt legitieme toegang voor sabotage, diefstal of spionage.</t>
  </si>
  <si>
    <t>Onvoldoende screening, gebrek aan least-privilege, geen user behaviour analytics, ontevredenheid personeel</t>
  </si>
  <si>
    <t>Verstoring kritieke operaties, diefstal staatsgeheimen/patiëntdata, langdurige ongeopmerkte schade</t>
  </si>
  <si>
    <t>Art. 21(2)(i)</t>
  </si>
  <si>
    <t>A.6.1, A.6.5, A.7.4, A.8.2</t>
  </si>
  <si>
    <t>R27</t>
  </si>
  <si>
    <t>Onbedoelde menselijke fout</t>
  </si>
  <si>
    <t>Configuratiefouten, verkeerde handelingen of het klikken op phishing door medewerkers zonder boos opzet.</t>
  </si>
  <si>
    <t>Onvoldoende training, complexe procedures, tijdsdruk, geen four-eyes-principe bij kritieke handelingen</t>
  </si>
  <si>
    <t>Datalekken, systeemuitval, per ongeluk verwijdering data, onderschepping van communicatie</t>
  </si>
  <si>
    <t>A.6.3, A.8.1</t>
  </si>
  <si>
    <t>R28</t>
  </si>
  <si>
    <t>Ex-medewerker met actieve toegang</t>
  </si>
  <si>
    <t>Voormalige medewerker of contractor behoudt toegang tot systemen na vertrek.</t>
  </si>
  <si>
    <t>Geen geautomatiseerd offboarding-proces, gedeelde accounts, handmatig rechten-inrekken vergeten</t>
  </si>
  <si>
    <t>Ongeautoriseerde toegang, datadiefstal na vertrek, sabotage van bedrijfssystemen</t>
  </si>
  <si>
    <t>A.6.5, A.8.2, A.8.18</t>
  </si>
  <si>
    <t>R29</t>
  </si>
  <si>
    <t>OT / ICS / SCADA</t>
  </si>
  <si>
    <t>Aanval op SCADA/ICS-besturingssystemen</t>
  </si>
  <si>
    <t>Gerichte aanval op industriële besturings- en procesautomatiseringssystemen.</t>
  </si>
  <si>
    <t>MITRE ATT&amp;CK for ICS-technieken, geopolitieke APT-groepen, niet-gepatchte PLC/HMI-firmware</t>
  </si>
  <si>
    <t>Uitval productie/levering, veiligheidsincidenten (explosie, overstroming), NIS2 kritieke infrastructuur</t>
  </si>
  <si>
    <t>R30</t>
  </si>
  <si>
    <t>Onbeveiligde OT-IT-netwerkverbinding</t>
  </si>
  <si>
    <t>Directe of onvoldoende gesegmenteerde verbinding tussen IT-netwerk en operationele omgeving.</t>
  </si>
  <si>
    <t>IT-OT convergentie zonder adequate firewalls, remote access op OT, gebrek aan netwerksegmentatie</t>
  </si>
  <si>
    <t>Lateral movement van IT naar OT-omgeving, aanvaller bereikt kritieke procesbesturing</t>
  </si>
  <si>
    <t>A.8.20, A.8.22</t>
  </si>
  <si>
    <t>R31</t>
  </si>
  <si>
    <t>Verouderde OT-firmware zonder patchmogelijkheid</t>
  </si>
  <si>
    <t>ICS/SCADA-systemen met bekende kwetsbaarheden die niet gepatcht kunnen worden vanwege operationele vereisten.</t>
  </si>
  <si>
    <t>Lange levenscyclus OT-apparatuur (15-30 jaar), afhankelijkheid leverancier, geen patchvenster</t>
  </si>
  <si>
    <t>Bekende kwetsbaarheden permanent aanwezig, doelwit van gespecialiseerde OT-aanvallers</t>
  </si>
  <si>
    <t>A.8.8, A.8.19</t>
  </si>
  <si>
    <t>R32</t>
  </si>
  <si>
    <t>Manipulatie meetdata of procesparameters</t>
  </si>
  <si>
    <t>Aanvaller past sensordata of procesparameters aan om operators te misleiden of processen te verstoren.</t>
  </si>
  <si>
    <t>Onvoldoende integriteitscontrole OT-data, geen anomaly detection, vertrouwen op enkele databron</t>
  </si>
  <si>
    <t>Gevaarlijke procestoestanden, verkeerde beslissingen operators, potentieel fysieke schade</t>
  </si>
  <si>
    <t>A.8.16, A.8.7</t>
  </si>
  <si>
    <t>R33</t>
  </si>
  <si>
    <t>Bedrijfscontinuïteit</t>
  </si>
  <si>
    <t>Uitval primaire datacenter of serverruimte</t>
  </si>
  <si>
    <t>Volledige uitval van de primaire IT-infrastructuur door brand, stroomstoring, of technisch falen.</t>
  </si>
  <si>
    <t>Ontbreken redundantie, onvoldoende UPS/noodstroom, geen uitwijklocatie, fysieke calamiteit</t>
  </si>
  <si>
    <t>Uitval alle primaire systemen, operationele stilstand, dataverlies als backup ook faalt</t>
  </si>
  <si>
    <t>Art. 21(2)(c)</t>
  </si>
  <si>
    <t>A.7.5, A.8.14, A.7.11</t>
  </si>
  <si>
    <t>R34</t>
  </si>
  <si>
    <t>Falen backup-systemen en herstelproces</t>
  </si>
  <si>
    <t>Ontdekking dat back-ups corrupt, onvolledig of onherstelbaar zijn op het moment van nood.</t>
  </si>
  <si>
    <t>Ongeteste back-ups, back-ups in zelfde netwerksegment als productie, geen 3-2-1 strategie</t>
  </si>
  <si>
    <t>Ransomware gevolgd door gefaalde herstel = organisatie-existentieel; dataverlies onherstelbaar</t>
  </si>
  <si>
    <t>A.8.13</t>
  </si>
  <si>
    <t>R35</t>
  </si>
  <si>
    <t>Langdurige uitval cloud-dienstverlener</t>
  </si>
  <si>
    <t>Uitval van een kritieke cloud-provider (AWS, Azure, Google) met directe impact op bedrijfsvoering.</t>
  </si>
  <si>
    <t>Te grote afhankelijkheid van één cloud-provider, geen multi-cloud strategie, geen SLA-verificatie</t>
  </si>
  <si>
    <t>Uitval SaaS-applicaties, onbereikbaarheid klantportalen, operationele stilstand</t>
  </si>
  <si>
    <t>Art. 21(2)(c)(d)</t>
  </si>
  <si>
    <t>A.5.23, A.8.14</t>
  </si>
  <si>
    <t>R36</t>
  </si>
  <si>
    <t>Ontbreken noodstroom en koeling</t>
  </si>
  <si>
    <t>Uitval stroomvoorziening of koeling treft IT-systemen bij afwezigheid van adequate noodmaatregelen.</t>
  </si>
  <si>
    <t>Geen UPS of generator, afhankelijkheid nutsbedrijf, onderhoudsverzuim koelingsinstallatie</t>
  </si>
  <si>
    <t>Ongecontroleerde uitval systemen, hardwareschade door oververhitting, dataverlies</t>
  </si>
  <si>
    <t>A.7.11, A.7.5</t>
  </si>
  <si>
    <t>R37</t>
  </si>
  <si>
    <t>Governance &amp; Compliance</t>
  </si>
  <si>
    <t>Ongepatchte systemen en bekende kwetsbaarheden</t>
  </si>
  <si>
    <t>Systemen draaien met bekende, exploiteerbare kwetsbaarheden door uitgesteld patchbeheer.</t>
  </si>
  <si>
    <t>Geen gestructureerd patch management, angst voor operationele verstoring, testomgeving ontbreekt</t>
  </si>
  <si>
    <t>Bekende kwetsbaarheden actief uitgebuit door geautomatiseerde scanners van aanvallers</t>
  </si>
  <si>
    <t>A.8.8</t>
  </si>
  <si>
    <t>R38</t>
  </si>
  <si>
    <t>Onvoldoende netwerksegmentatie</t>
  </si>
  <si>
    <t>Flat netwerk zonder zones maakt lateral movement mogelijk na initiële compromittering.</t>
  </si>
  <si>
    <t>Historisch gegroeide netwerktopologie, kostenoverweging, gebrek aan netwerkzichtbaarheid</t>
  </si>
  <si>
    <t>Aanvaller bereikt alle systemen na één comprimitteerd apparaat; OT bereikbaar vanuit IT</t>
  </si>
  <si>
    <t>A.8.22</t>
  </si>
  <si>
    <t>R39</t>
  </si>
  <si>
    <t>Onvoldoende logging en security monitoring</t>
  </si>
  <si>
    <t>Ontbreken van adequate logs en real-time monitoring om aanvallen tijdig te detecteren.</t>
  </si>
  <si>
    <t>Geen SIEM, beperkt opslagbudget voor logs, geen alert-procedures, onderbezetting security team</t>
  </si>
  <si>
    <t>Aanvallen blijven gemiddeld 200+ dagen onopgemerkt; geen bewijs voor forensisch onderzoek</t>
  </si>
  <si>
    <t>Art. 21(2)(f)</t>
  </si>
  <si>
    <t>A.8.15, A.8.16</t>
  </si>
  <si>
    <t>R40</t>
  </si>
  <si>
    <t>Geen MFA op kritieke systemen en accounts</t>
  </si>
  <si>
    <t>Enkelvoudige wachtwoordauthenticatie op systemen die NIS2 primaire toegangsbeveiliging vereist.</t>
  </si>
  <si>
    <t>Legacy-systemen zonder MFA-ondersteuning, gebruikersweerstand, implementatiekosten</t>
  </si>
  <si>
    <t>Credential-diefstal leidt direct tot systeemtoegang; NIS2 Art. 21(2)(j) expliciet vereist</t>
  </si>
  <si>
    <t>A.8.5</t>
  </si>
  <si>
    <t>R41</t>
  </si>
  <si>
    <t>Ontbreken incidentrespons procedure en -capaciteit</t>
  </si>
  <si>
    <t>Organisatie beschikt niet over gedocumenteerde en geoefende procedures voor beveiligingsincidenten.</t>
  </si>
  <si>
    <t>Geen IR-plan, geen trained response team, geen externe IR-retainer, geen oefeningen (tabletops)</t>
  </si>
  <si>
    <t>Paniek bij incident, cruciale uren verloren, escalatie tot vermijdbare schade, NIS2-meldplicht gemist</t>
  </si>
  <si>
    <t>Art. 21(2)(b)</t>
  </si>
  <si>
    <t>A.5.24, A.5.25, A.5.26</t>
  </si>
  <si>
    <t>R42</t>
  </si>
  <si>
    <t>Niet-naleving NIS2 meldplicht (24u/72u/30d)</t>
  </si>
  <si>
    <t>Organisatie voldoet niet tijdig aan de verplichte incidentmelding bij NCSC/toezichthouder.</t>
  </si>
  <si>
    <t>Geen intern escalatieproces, onduidelijkheid over drempel significante incidenten, geen contacten NCSC</t>
  </si>
  <si>
    <t>Directe boete tot €10M of 2% wereldwijde omzet, reputatieschade, verscherpt toezicht</t>
  </si>
  <si>
    <t>Art. 23</t>
  </si>
  <si>
    <t>A.5.24, A.5.25</t>
  </si>
  <si>
    <t>NIS2 Dreigingscatalogus — Energie  ·  MKBTechGids  ·  KVK 27348456  ·  mkbtechgids.nl  ·  Bronnen: ENISA NIS2 Threat Landscape 2024, NCSC NL CSBN 2024, MITRE ATT&amp;CK v14</t>
  </si>
  <si>
    <t>NIS2 DREIGINGSCATALOGUS — TRANSPORT</t>
  </si>
  <si>
    <t>NIS2 Dreigingscatalogus — Transport  ·  MKBTechGids  ·  KVK 27348456  ·  mkbtechgids.nl  ·  Bronnen: ENISA NIS2 Threat Landscape 2024, NCSC NL CSBN 2024, MITRE ATT&amp;CK v14</t>
  </si>
  <si>
    <t>NIS2 DREIGINGSCATALOGUS — GEZONDHEIDSZORG</t>
  </si>
  <si>
    <t>NIS2 Dreigingscatalogus — Gezondheidszorg  ·  MKBTechGids  ·  KVK 27348456  ·  mkbtechgids.nl  ·  Bronnen: ENISA NIS2 Threat Landscape 2024, NCSC NL CSBN 2024, MITRE ATT&amp;CK v14</t>
  </si>
  <si>
    <t>NIS2 DREIGINGSCATALOGUS — WATER</t>
  </si>
  <si>
    <t>NIS2 Dreigingscatalogus — Water  ·  MKBTechGids  ·  KVK 27348456  ·  mkbtechgids.nl  ·  Bronnen: ENISA NIS2 Threat Landscape 2024, NCSC NL CSBN 2024, MITRE ATT&amp;CK v14</t>
  </si>
  <si>
    <t>NIS2 DREIGINGSCATALOGUS — DIGITALE DIENSTVERLENERS</t>
  </si>
  <si>
    <t>NIS2 Dreigingscatalogus — Digitale Dienstverleners  ·  MKBTechGids  ·  KVK 27348456  ·  mkbtechgids.nl  ·  Bronnen: ENISA NIS2 Threat Landscape 2024, NCSC NL CSBN 2024, MITRE ATT&amp;CK v14</t>
  </si>
  <si>
    <t>SCORINGSGIDS &amp; KALIBRATIETABEL — NIS2 Dreigingscatalogus</t>
  </si>
  <si>
    <t>Gebruik samen met Dreigingscatalogus (Fase 2 Instrument)</t>
  </si>
  <si>
    <t>NIS2 Art. 21(2)(a)  ·  ISO/IEC 27001:2022 Cl. 6.1.2</t>
  </si>
  <si>
    <t>WAARSCHIJNLIJKHEID (W) — SCORINGSDEFINITIES</t>
  </si>
  <si>
    <t>W = 1</t>
  </si>
  <si>
    <t>Zelden</t>
  </si>
  <si>
    <t>Minder dan 1× per 10 jaar — theoretisch aanwezig, nooit of zelden gerapporteerd in sector</t>
  </si>
  <si>
    <t>W = 2</t>
  </si>
  <si>
    <t>Onwaarschijnlijk</t>
  </si>
  <si>
    <t>1× per 5–10 jaar — incidenteel gerapporteerd in vergelijkbare organisaties of regio</t>
  </si>
  <si>
    <t>W = 3</t>
  </si>
  <si>
    <t>Mogelijk</t>
  </si>
  <si>
    <t>1× per 1–5 jaar — regelmatig gerapporteerd in sector; relevant in dreigingslandschap</t>
  </si>
  <si>
    <t>W = 4</t>
  </si>
  <si>
    <t>Waarschijnlijk</t>
  </si>
  <si>
    <t>Meerdere keren per jaar — actief uitgebuit in sector; concrete dreigingsgroepen actief</t>
  </si>
  <si>
    <t>W = 5</t>
  </si>
  <si>
    <t>Bijna zeker</t>
  </si>
  <si>
    <t>Meerdere keren per maand — aantoonbare, doorlopende dreiging; actuele NCSC-waarschuwingen</t>
  </si>
  <si>
    <t>IMPACT (I) — SCORINGSDEFINITIES MET FINANCIËLE DREMPEL</t>
  </si>
  <si>
    <t>I = 1</t>
  </si>
  <si>
    <t>Verwaarloosbaar</t>
  </si>
  <si>
    <t>&lt;€5.000 directe schade — geen merkbare verstoring; intern oplosbaar binnen uren</t>
  </si>
  <si>
    <t>I = 2</t>
  </si>
  <si>
    <t>Klein</t>
  </si>
  <si>
    <t>€5.000–€50.000 — tijdelijke verstoring; geen klantimpact; geen externe melding vereist</t>
  </si>
  <si>
    <t>I = 3</t>
  </si>
  <si>
    <t>Matig</t>
  </si>
  <si>
    <t>€50.000–€250.000 — significante verstoring; reputatieschade mogelijk; interne escalatie vereist</t>
  </si>
  <si>
    <t>I = 4</t>
  </si>
  <si>
    <t>Ernstig</t>
  </si>
  <si>
    <t>€250.000–€1.000.000 — langdurige uitval; juridische gevolgen; NIS2-melding waarschijnlijk</t>
  </si>
  <si>
    <t>I = 5</t>
  </si>
  <si>
    <t>Catastrofaal</t>
  </si>
  <si>
    <t>&gt;€1.000.000 of organisatie-existentieel — faillissement/verlies sleutelklanten; directe NIS2-melding</t>
  </si>
  <si>
    <t>PRIORITERINGSMATRIX (W × I)</t>
  </si>
  <si>
    <t>15–25</t>
  </si>
  <si>
    <t>Kritiek</t>
  </si>
  <si>
    <t>Directe actie vereist. Rapporteer aan directie binnen 5 werkdagen. Behandelplan &lt;30 dagen.</t>
  </si>
  <si>
    <t>8–14</t>
  </si>
  <si>
    <t>Hoog</t>
  </si>
  <si>
    <t>Behandelplan opstellen binnen 30 dagen. Eigenaar aanwijzen. Monitoren per kwartaal.</t>
  </si>
  <si>
    <t>4–7</t>
  </si>
  <si>
    <t>Middel</t>
  </si>
  <si>
    <t>Actie plannen binnen 90 dagen of formeel accepteren met motivatie. Jaarlijks herbeoordelen.</t>
  </si>
  <si>
    <t>1–3</t>
  </si>
  <si>
    <t>Laag</t>
  </si>
  <si>
    <t>Accepteren met directiebesluit. Jaarlijks herbeoordelen. Documenteer acceptatiereden.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</si>
</sst>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1E3A6E"/>
      <name val="Calibri"/>
      <family val="2"/>
      <scheme val="minor"/>
    </font>
    <font>
      <b/>
      <sz val="10"/>
      <color rgb="FF713F12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11"/>
      <color rgb="FF374151"/>
      <name val="Calibri"/>
      <family val="2"/>
      <scheme val="minor"/>
    </font>
    <font>
      <b/>
      <sz val="11"/>
      <color rgb="FFDC2626"/>
      <name val="Calibri"/>
      <family val="2"/>
      <scheme val="minor"/>
    </font>
    <font>
      <b/>
      <sz val="11"/>
      <color rgb="FFD97706"/>
      <name val="Calibri"/>
      <family val="2"/>
      <scheme val="minor"/>
    </font>
    <font>
      <b/>
      <sz val="11"/>
      <color rgb="FF15803D"/>
      <name val="Calibri"/>
      <family val="2"/>
      <scheme val="minor"/>
    </font>
    <font>
      <i/>
      <sz val="9"/>
      <color rgb="FF1D4ED8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6B7280"/>
      <name val="Calibri"/>
      <family val="2"/>
      <scheme val="minor"/>
    </font>
    <font>
      <b/>
      <sz val="8"/>
      <color rgb="FF1D4ED8"/>
      <name val="Calibri"/>
      <family val="2"/>
      <scheme val="minor"/>
    </font>
    <font>
      <sz val="9"/>
      <color rgb="FF9CA3AF"/>
      <name val="Calibri"/>
      <family val="2"/>
      <scheme val="minor"/>
    </font>
    <font>
      <i/>
      <sz val="9"/>
      <color rgb="FF374151"/>
      <name val="Calibri"/>
      <family val="2"/>
      <scheme val="minor"/>
    </font>
    <font>
      <i/>
      <sz val="10"/>
      <color rgb="FF9CA3AF"/>
      <name val="Calibri"/>
      <family val="2"/>
      <scheme val="minor"/>
    </font>
    <font>
      <b/>
      <sz val="11"/>
      <color rgb="FF1D4ED8"/>
      <name val="Calibri"/>
      <family val="2"/>
      <scheme val="minor"/>
    </font>
    <font>
      <b/>
      <sz val="11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i/>
      <sz val="8"/>
      <color rgb="FF1D4ED8"/>
      <name val="Calibri"/>
      <family val="2"/>
      <scheme val="minor"/>
    </font>
    <font>
      <b/>
      <sz val="10"/>
      <color rgb="FF14532D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3A6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5B21B6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14532D"/>
        <bgColor indexed="64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5" borderId="2" xfId="0" applyFont="1" applyFill="1" applyBorder="1" applyAlignment="1" applyProtection="1">
      <alignment horizontal="left" vertical="center"/>
      <protection locked="0"/>
    </xf>
    <xf numFmtId="0" fontId="7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5" borderId="0" xfId="0" applyFont="1" applyFill="1" applyAlignment="1" applyProtection="1">
      <alignment horizontal="left" vertical="center"/>
      <protection locked="0"/>
    </xf>
    <xf numFmtId="0" fontId="10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4" fillId="8" borderId="3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center" vertical="center"/>
    </xf>
    <xf numFmtId="0" fontId="21" fillId="8" borderId="3" xfId="0" applyFont="1" applyFill="1" applyBorder="1" applyAlignment="1" applyProtection="1">
      <alignment horizontal="center" vertical="center"/>
      <protection locked="0"/>
    </xf>
    <xf numFmtId="0" fontId="22" fillId="8" borderId="3" xfId="0" applyFont="1" applyFill="1" applyBorder="1" applyAlignment="1">
      <alignment horizontal="center" vertical="center"/>
    </xf>
    <xf numFmtId="0" fontId="23" fillId="11" borderId="2" xfId="0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horizontal="left" vertical="center" wrapText="1"/>
      <protection locked="0"/>
    </xf>
    <xf numFmtId="0" fontId="24" fillId="8" borderId="3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 wrapText="1"/>
    </xf>
    <xf numFmtId="0" fontId="23" fillId="12" borderId="2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24" fillId="13" borderId="3" xfId="0" applyFont="1" applyFill="1" applyBorder="1" applyAlignment="1">
      <alignment horizontal="left" vertical="center" wrapText="1"/>
    </xf>
    <xf numFmtId="0" fontId="8" fillId="14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right" vertical="center"/>
    </xf>
    <xf numFmtId="0" fontId="8" fillId="1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right" vertical="center"/>
    </xf>
    <xf numFmtId="0" fontId="8" fillId="16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right" vertical="center"/>
    </xf>
    <xf numFmtId="0" fontId="8" fillId="17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left" vertical="center"/>
    </xf>
    <xf numFmtId="0" fontId="25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b/>
        <color rgb="FFDC2626"/>
      </font>
      <fill>
        <patternFill>
          <bgColor rgb="FFFEF2F2"/>
        </patternFill>
      </fill>
      <border>
        <left style="thin">
          <color rgb="FFFECACA"/>
        </left>
        <right style="thin">
          <color rgb="FFFECACA"/>
        </right>
        <top style="thin">
          <color rgb="FFFECACA"/>
        </top>
        <bottom style="thin">
          <color rgb="FFFECACA"/>
        </bottom>
        <vertical/>
        <horizontal/>
      </border>
    </dxf>
    <dxf>
      <font>
        <b/>
        <color rgb="FFD97706"/>
      </font>
      <fill>
        <patternFill>
          <bgColor rgb="FFFFFBEB"/>
        </patternFill>
      </fill>
      <border>
        <left style="thin">
          <color rgb="FFFDE68A"/>
        </left>
        <right style="thin">
          <color rgb="FFFDE68A"/>
        </right>
        <top style="thin">
          <color rgb="FFFDE68A"/>
        </top>
        <bottom style="thin">
          <color rgb="FFFDE68A"/>
        </bottom>
        <vertical/>
        <horizontal/>
      </border>
    </dxf>
    <dxf>
      <font>
        <b/>
        <color rgb="FF15803D"/>
      </font>
      <fill>
        <patternFill>
          <bgColor rgb="FFF0FDF4"/>
        </patternFill>
      </fill>
      <border>
        <left style="thin">
          <color rgb="FFBBF7D0"/>
        </left>
        <right style="thin">
          <color rgb="FFBBF7D0"/>
        </right>
        <top style="thin">
          <color rgb="FFBBF7D0"/>
        </top>
        <bottom style="thin">
          <color rgb="FFBBF7D0"/>
        </bottom>
        <vertical/>
        <horizontal/>
      </border>
    </dxf>
    <dxf>
      <font>
        <b/>
        <color rgb="FF6B7280"/>
      </font>
      <fill>
        <patternFill>
          <bgColor rgb="FFF9FAFB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zoomScale="90" zoomScaleNormal="90" workbookViewId="0"/>
  </sheetViews>
  <sheetFormatPr defaultRowHeight="15"/>
  <cols>
    <col min="1" max="1" width="4.7109375" customWidth="1"/>
    <col min="2" max="2" width="28.7109375" customWidth="1"/>
    <col min="3" max="3" width="62.7109375" customWidth="1"/>
  </cols>
  <sheetData>
    <row r="1" spans="1:3" ht="52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 t="s">
        <v>2</v>
      </c>
    </row>
    <row r="3" spans="1:3" ht="18" customHeight="1"/>
    <row r="5" spans="1:3" ht="28" customHeight="1">
      <c r="A5" s="3" t="s">
        <v>3</v>
      </c>
      <c r="B5" s="3"/>
      <c r="C5" s="3"/>
    </row>
    <row r="6" spans="1:3" ht="22" customHeight="1">
      <c r="A6" s="4"/>
      <c r="B6" s="5" t="s">
        <v>4</v>
      </c>
      <c r="C6" s="4" t="s">
        <v>5</v>
      </c>
    </row>
    <row r="7" spans="1:3" ht="22" customHeight="1">
      <c r="A7" s="6"/>
      <c r="B7" s="5" t="s">
        <v>6</v>
      </c>
      <c r="C7" s="6" t="s">
        <v>7</v>
      </c>
    </row>
    <row r="8" spans="1:3" ht="22" customHeight="1">
      <c r="A8" s="4"/>
      <c r="B8" s="5" t="s">
        <v>8</v>
      </c>
      <c r="C8" s="4" t="s">
        <v>9</v>
      </c>
    </row>
    <row r="9" spans="1:3" ht="22" customHeight="1">
      <c r="A9" s="6"/>
      <c r="B9" s="5" t="s">
        <v>10</v>
      </c>
      <c r="C9" s="6" t="s">
        <v>11</v>
      </c>
    </row>
    <row r="10" spans="1:3" ht="22" customHeight="1">
      <c r="A10" s="4"/>
      <c r="B10" s="5" t="s">
        <v>12</v>
      </c>
      <c r="C10" s="4" t="s">
        <v>13</v>
      </c>
    </row>
    <row r="11" spans="1:3" ht="22" customHeight="1">
      <c r="A11" s="6"/>
      <c r="B11" s="5" t="s">
        <v>14</v>
      </c>
      <c r="C11" s="6" t="s">
        <v>15</v>
      </c>
    </row>
    <row r="12" spans="1:3" ht="22" customHeight="1">
      <c r="A12" s="4"/>
      <c r="B12" s="5" t="s">
        <v>16</v>
      </c>
      <c r="C12" s="4" t="s">
        <v>17</v>
      </c>
    </row>
    <row r="14" spans="1:3" ht="28" customHeight="1">
      <c r="A14" s="3" t="s">
        <v>18</v>
      </c>
      <c r="B14" s="3"/>
      <c r="C14" s="3"/>
    </row>
    <row r="15" spans="1:3" ht="22" customHeight="1">
      <c r="A15" s="6"/>
      <c r="B15" s="5" t="s">
        <v>19</v>
      </c>
      <c r="C15" s="6" t="s">
        <v>20</v>
      </c>
    </row>
    <row r="16" spans="1:3" ht="22" customHeight="1">
      <c r="A16" s="4"/>
      <c r="B16" s="5" t="s">
        <v>21</v>
      </c>
      <c r="C16" s="4" t="s">
        <v>22</v>
      </c>
    </row>
    <row r="17" spans="1:3" ht="22" customHeight="1">
      <c r="A17" s="6"/>
      <c r="B17" s="5" t="s">
        <v>23</v>
      </c>
      <c r="C17" s="6" t="s">
        <v>24</v>
      </c>
    </row>
    <row r="18" spans="1:3" ht="22" customHeight="1">
      <c r="A18" s="4"/>
      <c r="B18" s="5" t="s">
        <v>25</v>
      </c>
      <c r="C18" s="4" t="s">
        <v>26</v>
      </c>
    </row>
    <row r="19" spans="1:3" ht="22" customHeight="1">
      <c r="A19" s="6"/>
      <c r="B19" s="5" t="s">
        <v>27</v>
      </c>
      <c r="C19" s="6" t="s">
        <v>28</v>
      </c>
    </row>
    <row r="21" spans="1:3" ht="28" customHeight="1">
      <c r="A21" s="3" t="s">
        <v>29</v>
      </c>
      <c r="B21" s="3"/>
      <c r="C21" s="3"/>
    </row>
    <row r="22" spans="1:3" ht="22" customHeight="1">
      <c r="A22" s="6"/>
      <c r="B22" s="5" t="s">
        <v>30</v>
      </c>
      <c r="C22" s="7" t="s">
        <v>31</v>
      </c>
    </row>
    <row r="23" spans="1:3" ht="22" customHeight="1">
      <c r="A23" s="6"/>
      <c r="B23" s="5" t="s">
        <v>32</v>
      </c>
      <c r="C23" s="7" t="s">
        <v>33</v>
      </c>
    </row>
    <row r="24" spans="1:3" ht="22" customHeight="1">
      <c r="A24" s="6"/>
      <c r="B24" s="5" t="s">
        <v>34</v>
      </c>
      <c r="C24" s="7" t="s">
        <v>35</v>
      </c>
    </row>
    <row r="25" spans="1:3" ht="22" customHeight="1">
      <c r="A25" s="6"/>
      <c r="B25" s="5" t="s">
        <v>36</v>
      </c>
      <c r="C25" s="7" t="s">
        <v>37</v>
      </c>
    </row>
    <row r="26" spans="1:3" ht="22" customHeight="1">
      <c r="A26" s="6"/>
      <c r="B26" s="5" t="s">
        <v>38</v>
      </c>
      <c r="C26" s="7" t="s">
        <v>39</v>
      </c>
    </row>
    <row r="28" spans="1:3" ht="28" customHeight="1">
      <c r="A28" s="3" t="s">
        <v>40</v>
      </c>
      <c r="B28" s="3"/>
      <c r="C28" s="3"/>
    </row>
    <row r="29" spans="1:3" ht="20" customHeight="1">
      <c r="A29" s="6"/>
      <c r="B29" s="5" t="s">
        <v>41</v>
      </c>
      <c r="C29" s="6" t="s">
        <v>42</v>
      </c>
    </row>
    <row r="30" spans="1:3" ht="20" customHeight="1">
      <c r="A30" s="4"/>
      <c r="B30" s="5" t="s">
        <v>43</v>
      </c>
      <c r="C30" s="4" t="s">
        <v>44</v>
      </c>
    </row>
    <row r="31" spans="1:3" ht="20" customHeight="1">
      <c r="A31" s="6"/>
      <c r="B31" s="5" t="s">
        <v>45</v>
      </c>
      <c r="C31" s="6" t="s">
        <v>46</v>
      </c>
    </row>
    <row r="32" spans="1:3" ht="20" customHeight="1">
      <c r="A32" s="4"/>
      <c r="B32" s="5" t="s">
        <v>47</v>
      </c>
      <c r="C32" s="4" t="s">
        <v>48</v>
      </c>
    </row>
    <row r="33" spans="1:3" ht="20" customHeight="1">
      <c r="A33" s="6"/>
      <c r="B33" s="5" t="s">
        <v>49</v>
      </c>
      <c r="C33" s="6" t="s">
        <v>50</v>
      </c>
    </row>
    <row r="34" spans="1:3" ht="20" customHeight="1">
      <c r="A34" s="4"/>
      <c r="B34" s="5" t="s">
        <v>51</v>
      </c>
      <c r="C34" s="4" t="s">
        <v>52</v>
      </c>
    </row>
    <row r="35" spans="1:3" ht="20" customHeight="1">
      <c r="A35" s="6"/>
      <c r="B35" s="5" t="s">
        <v>53</v>
      </c>
      <c r="C35" s="6" t="s">
        <v>54</v>
      </c>
    </row>
    <row r="36" spans="1:3" ht="20" customHeight="1">
      <c r="A36" s="4"/>
      <c r="B36" s="5" t="s">
        <v>55</v>
      </c>
      <c r="C36" s="4" t="s">
        <v>56</v>
      </c>
    </row>
    <row r="37" spans="1:3" ht="20" customHeight="1">
      <c r="A37" s="6"/>
      <c r="B37" s="5" t="s">
        <v>57</v>
      </c>
      <c r="C37" s="6" t="s">
        <v>58</v>
      </c>
    </row>
    <row r="38" spans="1:3" ht="20" customHeight="1">
      <c r="A38" s="4"/>
      <c r="B38" s="5" t="s">
        <v>59</v>
      </c>
      <c r="C38" s="4" t="s">
        <v>60</v>
      </c>
    </row>
    <row r="40" spans="1:3" ht="18" customHeight="1">
      <c r="A40" s="8" t="s">
        <v>61</v>
      </c>
      <c r="B40" s="8"/>
      <c r="C40" s="8"/>
    </row>
    <row r="42" spans="1:3">
      <c r="A42" s="8" t="s">
        <v>62</v>
      </c>
      <c r="B42" s="8"/>
      <c r="C42" s="8"/>
    </row>
  </sheetData>
  <sheetProtection sheet="1" objects="1" scenarios="1"/>
  <mergeCells count="8">
    <mergeCell ref="A1:C1"/>
    <mergeCell ref="A2:B2"/>
    <mergeCell ref="A5:C5"/>
    <mergeCell ref="A14:C14"/>
    <mergeCell ref="A21:C21"/>
    <mergeCell ref="A28:C28"/>
    <mergeCell ref="A40:C40"/>
    <mergeCell ref="A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8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</cols>
  <sheetData>
    <row r="1" spans="1:16" ht="44" customHeight="1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10" t="s">
        <v>64</v>
      </c>
      <c r="L1" s="10"/>
      <c r="M1" s="10"/>
      <c r="N1" s="10"/>
      <c r="O1" s="10"/>
      <c r="P1" s="10"/>
    </row>
    <row r="2" spans="1:16" ht="20" customHeight="1">
      <c r="A2" s="11" t="s">
        <v>65</v>
      </c>
      <c r="B2" s="12" t="s">
        <v>31</v>
      </c>
      <c r="C2" s="12"/>
      <c r="D2" s="12"/>
      <c r="E2" s="11" t="s">
        <v>66</v>
      </c>
      <c r="F2" s="13">
        <f>COUNTA(C5:C46)</f>
        <v>0</v>
      </c>
      <c r="G2" s="11" t="s">
        <v>67</v>
      </c>
      <c r="H2" s="14">
        <f>COUNTIF(J5:J46,"Kritiek")</f>
        <v>0</v>
      </c>
      <c r="I2" s="11" t="s">
        <v>68</v>
      </c>
      <c r="J2" s="15">
        <f>COUNTIF(J5:J46,"Hoog")</f>
        <v>0</v>
      </c>
      <c r="K2" s="11" t="s">
        <v>69</v>
      </c>
      <c r="L2" s="16">
        <f>COUNTIF(J5:J46,"Middel")</f>
        <v>0</v>
      </c>
      <c r="M2" s="11" t="s">
        <v>70</v>
      </c>
      <c r="N2" s="12" t="s">
        <v>35</v>
      </c>
      <c r="O2" s="12"/>
      <c r="P2" s="12"/>
    </row>
    <row r="3" spans="1:16" ht="18" customHeight="1">
      <c r="A3" s="17" t="s">
        <v>71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40" customHeight="1">
      <c r="A4" s="18" t="s">
        <v>72</v>
      </c>
      <c r="B4" s="18" t="s">
        <v>73</v>
      </c>
      <c r="C4" s="18" t="s">
        <v>74</v>
      </c>
      <c r="D4" s="18" t="s">
        <v>75</v>
      </c>
      <c r="E4" s="19" t="s">
        <v>76</v>
      </c>
      <c r="F4" s="19" t="s">
        <v>77</v>
      </c>
      <c r="G4" s="20" t="s">
        <v>78</v>
      </c>
      <c r="H4" s="20" t="s">
        <v>79</v>
      </c>
      <c r="I4" s="18" t="s">
        <v>80</v>
      </c>
      <c r="J4" s="18" t="s">
        <v>81</v>
      </c>
      <c r="K4" s="18" t="s">
        <v>82</v>
      </c>
      <c r="L4" s="18" t="s">
        <v>83</v>
      </c>
      <c r="M4" s="18" t="s">
        <v>84</v>
      </c>
      <c r="N4" s="18" t="s">
        <v>85</v>
      </c>
      <c r="O4" s="20" t="s">
        <v>86</v>
      </c>
      <c r="P4" s="20" t="s">
        <v>87</v>
      </c>
    </row>
    <row r="5" spans="1:16" ht="38" customHeight="1">
      <c r="A5" s="21" t="s">
        <v>88</v>
      </c>
      <c r="B5" s="22" t="s">
        <v>89</v>
      </c>
      <c r="C5" s="23" t="s">
        <v>90</v>
      </c>
      <c r="D5" s="23" t="s">
        <v>91</v>
      </c>
      <c r="E5" s="24">
        <v>5</v>
      </c>
      <c r="F5" s="24">
        <v>4</v>
      </c>
      <c r="G5" s="25">
        <v>5</v>
      </c>
      <c r="H5" s="25">
        <v>4</v>
      </c>
      <c r="I5" s="26">
        <f>IF(AND(ISNUMBER(G5),ISNUMBER(H5)),G5*H5,"—")</f>
        <v>0</v>
      </c>
      <c r="J5" s="26">
        <f>IF(I5="—","—",IF(I5&gt;=15,"Kritiek",IF(I5&gt;=8,"Hoog",IF(I5&gt;=4,"Middel","Laag"))))</f>
        <v>0</v>
      </c>
      <c r="K5" s="23" t="s">
        <v>92</v>
      </c>
      <c r="L5" s="23" t="s">
        <v>93</v>
      </c>
      <c r="M5" s="27" t="s">
        <v>94</v>
      </c>
      <c r="N5" s="28"/>
      <c r="O5" s="29" t="s">
        <v>95</v>
      </c>
      <c r="P5" s="29" t="s">
        <v>96</v>
      </c>
    </row>
    <row r="6" spans="1:16" ht="38" customHeight="1">
      <c r="A6" s="30" t="s">
        <v>97</v>
      </c>
      <c r="B6" s="31" t="s">
        <v>89</v>
      </c>
      <c r="C6" s="4" t="s">
        <v>98</v>
      </c>
      <c r="D6" s="4" t="s">
        <v>99</v>
      </c>
      <c r="E6" s="24">
        <v>4</v>
      </c>
      <c r="F6" s="24">
        <v>5</v>
      </c>
      <c r="G6" s="25">
        <v>4</v>
      </c>
      <c r="H6" s="25">
        <v>5</v>
      </c>
      <c r="I6" s="26">
        <f>IF(AND(ISNUMBER(G6),ISNUMBER(H6)),G6*H6,"—")</f>
        <v>0</v>
      </c>
      <c r="J6" s="26">
        <f>IF(I6="—","—",IF(I6&gt;=15,"Kritiek",IF(I6&gt;=8,"Hoog",IF(I6&gt;=4,"Middel","Laag"))))</f>
        <v>0</v>
      </c>
      <c r="K6" s="4" t="s">
        <v>100</v>
      </c>
      <c r="L6" s="4" t="s">
        <v>101</v>
      </c>
      <c r="M6" s="32" t="s">
        <v>94</v>
      </c>
      <c r="N6" s="33"/>
      <c r="O6" s="34" t="s">
        <v>95</v>
      </c>
      <c r="P6" s="34" t="s">
        <v>102</v>
      </c>
    </row>
    <row r="7" spans="1:16" ht="38" customHeight="1">
      <c r="A7" s="21" t="s">
        <v>103</v>
      </c>
      <c r="B7" s="22" t="s">
        <v>89</v>
      </c>
      <c r="C7" s="23" t="s">
        <v>104</v>
      </c>
      <c r="D7" s="23" t="s">
        <v>105</v>
      </c>
      <c r="E7" s="24">
        <v>2</v>
      </c>
      <c r="F7" s="24">
        <v>5</v>
      </c>
      <c r="G7" s="25">
        <v>2</v>
      </c>
      <c r="H7" s="25">
        <v>5</v>
      </c>
      <c r="I7" s="26">
        <f>IF(AND(ISNUMBER(G7),ISNUMBER(H7)),G7*H7,"—")</f>
        <v>0</v>
      </c>
      <c r="J7" s="26">
        <f>IF(I7="—","—",IF(I7&gt;=15,"Kritiek",IF(I7&gt;=8,"Hoog",IF(I7&gt;=4,"Middel","Laag"))))</f>
        <v>0</v>
      </c>
      <c r="K7" s="23" t="s">
        <v>106</v>
      </c>
      <c r="L7" s="23" t="s">
        <v>107</v>
      </c>
      <c r="M7" s="27" t="s">
        <v>94</v>
      </c>
      <c r="N7" s="28"/>
      <c r="O7" s="29" t="s">
        <v>108</v>
      </c>
      <c r="P7" s="29" t="s">
        <v>109</v>
      </c>
    </row>
    <row r="8" spans="1:16" ht="38" customHeight="1">
      <c r="A8" s="30" t="s">
        <v>110</v>
      </c>
      <c r="B8" s="31" t="s">
        <v>89</v>
      </c>
      <c r="C8" s="4" t="s">
        <v>111</v>
      </c>
      <c r="D8" s="4" t="s">
        <v>112</v>
      </c>
      <c r="E8" s="24">
        <v>4</v>
      </c>
      <c r="F8" s="24">
        <v>4</v>
      </c>
      <c r="G8" s="25">
        <v>4</v>
      </c>
      <c r="H8" s="25">
        <v>4</v>
      </c>
      <c r="I8" s="26">
        <f>IF(AND(ISNUMBER(G8),ISNUMBER(H8)),G8*H8,"—")</f>
        <v>0</v>
      </c>
      <c r="J8" s="26">
        <f>IF(I8="—","—",IF(I8&gt;=15,"Kritiek",IF(I8&gt;=8,"Hoog",IF(I8&gt;=4,"Middel","Laag"))))</f>
        <v>0</v>
      </c>
      <c r="K8" s="4" t="s">
        <v>113</v>
      </c>
      <c r="L8" s="4" t="s">
        <v>114</v>
      </c>
      <c r="M8" s="32" t="s">
        <v>94</v>
      </c>
      <c r="N8" s="33"/>
      <c r="O8" s="34" t="s">
        <v>115</v>
      </c>
      <c r="P8" s="34" t="s">
        <v>116</v>
      </c>
    </row>
    <row r="9" spans="1:16" ht="38" customHeight="1">
      <c r="A9" s="21" t="s">
        <v>117</v>
      </c>
      <c r="B9" s="22" t="s">
        <v>89</v>
      </c>
      <c r="C9" s="23" t="s">
        <v>118</v>
      </c>
      <c r="D9" s="23" t="s">
        <v>119</v>
      </c>
      <c r="E9" s="24">
        <v>4</v>
      </c>
      <c r="F9" s="24">
        <v>2</v>
      </c>
      <c r="G9" s="25">
        <v>4</v>
      </c>
      <c r="H9" s="25">
        <v>2</v>
      </c>
      <c r="I9" s="26">
        <f>IF(AND(ISNUMBER(G9),ISNUMBER(H9)),G9*H9,"—")</f>
        <v>0</v>
      </c>
      <c r="J9" s="26">
        <f>IF(I9="—","—",IF(I9&gt;=15,"Kritiek",IF(I9&gt;=8,"Hoog",IF(I9&gt;=4,"Middel","Laag"))))</f>
        <v>0</v>
      </c>
      <c r="K9" s="23" t="s">
        <v>120</v>
      </c>
      <c r="L9" s="23" t="s">
        <v>121</v>
      </c>
      <c r="M9" s="27" t="s">
        <v>94</v>
      </c>
      <c r="N9" s="28"/>
      <c r="O9" s="29" t="s">
        <v>122</v>
      </c>
      <c r="P9" s="29" t="s">
        <v>123</v>
      </c>
    </row>
    <row r="10" spans="1:16" ht="38" customHeight="1">
      <c r="A10" s="30" t="s">
        <v>124</v>
      </c>
      <c r="B10" s="31" t="s">
        <v>125</v>
      </c>
      <c r="C10" s="4" t="s">
        <v>126</v>
      </c>
      <c r="D10" s="4" t="s">
        <v>127</v>
      </c>
      <c r="E10" s="24">
        <v>5</v>
      </c>
      <c r="F10" s="24">
        <v>3</v>
      </c>
      <c r="G10" s="25">
        <v>5</v>
      </c>
      <c r="H10" s="25">
        <v>3</v>
      </c>
      <c r="I10" s="26">
        <f>IF(AND(ISNUMBER(G10),ISNUMBER(H10)),G10*H10,"—")</f>
        <v>0</v>
      </c>
      <c r="J10" s="26">
        <f>IF(I10="—","—",IF(I10&gt;=15,"Kritiek",IF(I10&gt;=8,"Hoog",IF(I10&gt;=4,"Middel","Laag"))))</f>
        <v>0</v>
      </c>
      <c r="K10" s="4" t="s">
        <v>128</v>
      </c>
      <c r="L10" s="4" t="s">
        <v>129</v>
      </c>
      <c r="M10" s="32" t="s">
        <v>94</v>
      </c>
      <c r="N10" s="33"/>
      <c r="O10" s="34" t="s">
        <v>130</v>
      </c>
      <c r="P10" s="34" t="s">
        <v>131</v>
      </c>
    </row>
    <row r="11" spans="1:16" ht="38" customHeight="1">
      <c r="A11" s="21" t="s">
        <v>132</v>
      </c>
      <c r="B11" s="22" t="s">
        <v>125</v>
      </c>
      <c r="C11" s="23" t="s">
        <v>133</v>
      </c>
      <c r="D11" s="23" t="s">
        <v>134</v>
      </c>
      <c r="E11" s="24">
        <v>5</v>
      </c>
      <c r="F11" s="24">
        <v>3</v>
      </c>
      <c r="G11" s="25">
        <v>5</v>
      </c>
      <c r="H11" s="25">
        <v>3</v>
      </c>
      <c r="I11" s="26">
        <f>IF(AND(ISNUMBER(G11),ISNUMBER(H11)),G11*H11,"—")</f>
        <v>0</v>
      </c>
      <c r="J11" s="26">
        <f>IF(I11="—","—",IF(I11&gt;=15,"Kritiek",IF(I11&gt;=8,"Hoog",IF(I11&gt;=4,"Middel","Laag"))))</f>
        <v>0</v>
      </c>
      <c r="K11" s="23" t="s">
        <v>135</v>
      </c>
      <c r="L11" s="23" t="s">
        <v>136</v>
      </c>
      <c r="M11" s="27" t="s">
        <v>94</v>
      </c>
      <c r="N11" s="28"/>
      <c r="O11" s="29" t="s">
        <v>137</v>
      </c>
      <c r="P11" s="29" t="s">
        <v>138</v>
      </c>
    </row>
    <row r="12" spans="1:16" ht="38" customHeight="1">
      <c r="A12" s="30" t="s">
        <v>139</v>
      </c>
      <c r="B12" s="31" t="s">
        <v>125</v>
      </c>
      <c r="C12" s="4" t="s">
        <v>140</v>
      </c>
      <c r="D12" s="4" t="s">
        <v>141</v>
      </c>
      <c r="E12" s="24">
        <v>4</v>
      </c>
      <c r="F12" s="24">
        <v>3</v>
      </c>
      <c r="G12" s="25">
        <v>4</v>
      </c>
      <c r="H12" s="25">
        <v>3</v>
      </c>
      <c r="I12" s="26">
        <f>IF(AND(ISNUMBER(G12),ISNUMBER(H12)),G12*H12,"—")</f>
        <v>0</v>
      </c>
      <c r="J12" s="26">
        <f>IF(I12="—","—",IF(I12&gt;=15,"Kritiek",IF(I12&gt;=8,"Hoog",IF(I12&gt;=4,"Middel","Laag"))))</f>
        <v>0</v>
      </c>
      <c r="K12" s="4" t="s">
        <v>142</v>
      </c>
      <c r="L12" s="4" t="s">
        <v>143</v>
      </c>
      <c r="M12" s="32" t="s">
        <v>94</v>
      </c>
      <c r="N12" s="33"/>
      <c r="O12" s="34" t="s">
        <v>144</v>
      </c>
      <c r="P12" s="34" t="s">
        <v>145</v>
      </c>
    </row>
    <row r="13" spans="1:16" ht="38" customHeight="1">
      <c r="A13" s="21" t="s">
        <v>146</v>
      </c>
      <c r="B13" s="22" t="s">
        <v>125</v>
      </c>
      <c r="C13" s="23" t="s">
        <v>147</v>
      </c>
      <c r="D13" s="23" t="s">
        <v>148</v>
      </c>
      <c r="E13" s="24">
        <v>4</v>
      </c>
      <c r="F13" s="24">
        <v>3</v>
      </c>
      <c r="G13" s="25">
        <v>4</v>
      </c>
      <c r="H13" s="25">
        <v>3</v>
      </c>
      <c r="I13" s="26">
        <f>IF(AND(ISNUMBER(G13),ISNUMBER(H13)),G13*H13,"—")</f>
        <v>0</v>
      </c>
      <c r="J13" s="26">
        <f>IF(I13="—","—",IF(I13&gt;=15,"Kritiek",IF(I13&gt;=8,"Hoog",IF(I13&gt;=4,"Middel","Laag"))))</f>
        <v>0</v>
      </c>
      <c r="K13" s="23" t="s">
        <v>149</v>
      </c>
      <c r="L13" s="23" t="s">
        <v>150</v>
      </c>
      <c r="M13" s="27" t="s">
        <v>94</v>
      </c>
      <c r="N13" s="28"/>
      <c r="O13" s="29" t="s">
        <v>137</v>
      </c>
      <c r="P13" s="29" t="s">
        <v>151</v>
      </c>
    </row>
    <row r="14" spans="1:16" ht="38" customHeight="1">
      <c r="A14" s="30" t="s">
        <v>152</v>
      </c>
      <c r="B14" s="31" t="s">
        <v>153</v>
      </c>
      <c r="C14" s="4" t="s">
        <v>154</v>
      </c>
      <c r="D14" s="4" t="s">
        <v>155</v>
      </c>
      <c r="E14" s="24">
        <v>3</v>
      </c>
      <c r="F14" s="24">
        <v>5</v>
      </c>
      <c r="G14" s="25">
        <v>3</v>
      </c>
      <c r="H14" s="25">
        <v>5</v>
      </c>
      <c r="I14" s="26">
        <f>IF(AND(ISNUMBER(G14),ISNUMBER(H14)),G14*H14,"—")</f>
        <v>0</v>
      </c>
      <c r="J14" s="26">
        <f>IF(I14="—","—",IF(I14&gt;=15,"Kritiek",IF(I14&gt;=8,"Hoog",IF(I14&gt;=4,"Middel","Laag"))))</f>
        <v>0</v>
      </c>
      <c r="K14" s="4" t="s">
        <v>156</v>
      </c>
      <c r="L14" s="4" t="s">
        <v>157</v>
      </c>
      <c r="M14" s="32" t="s">
        <v>94</v>
      </c>
      <c r="N14" s="33"/>
      <c r="O14" s="34" t="s">
        <v>158</v>
      </c>
      <c r="P14" s="34" t="s">
        <v>159</v>
      </c>
    </row>
    <row r="15" spans="1:16" ht="38" customHeight="1">
      <c r="A15" s="21" t="s">
        <v>160</v>
      </c>
      <c r="B15" s="22" t="s">
        <v>153</v>
      </c>
      <c r="C15" s="23" t="s">
        <v>161</v>
      </c>
      <c r="D15" s="23" t="s">
        <v>162</v>
      </c>
      <c r="E15" s="24">
        <v>3</v>
      </c>
      <c r="F15" s="24">
        <v>4</v>
      </c>
      <c r="G15" s="25">
        <v>3</v>
      </c>
      <c r="H15" s="25">
        <v>4</v>
      </c>
      <c r="I15" s="26">
        <f>IF(AND(ISNUMBER(G15),ISNUMBER(H15)),G15*H15,"—")</f>
        <v>0</v>
      </c>
      <c r="J15" s="26">
        <f>IF(I15="—","—",IF(I15&gt;=15,"Kritiek",IF(I15&gt;=8,"Hoog",IF(I15&gt;=4,"Middel","Laag"))))</f>
        <v>0</v>
      </c>
      <c r="K15" s="23" t="s">
        <v>163</v>
      </c>
      <c r="L15" s="23" t="s">
        <v>164</v>
      </c>
      <c r="M15" s="27" t="s">
        <v>94</v>
      </c>
      <c r="N15" s="28"/>
      <c r="O15" s="29" t="s">
        <v>165</v>
      </c>
      <c r="P15" s="29" t="s">
        <v>166</v>
      </c>
    </row>
    <row r="16" spans="1:16" ht="38" customHeight="1">
      <c r="A16" s="30" t="s">
        <v>167</v>
      </c>
      <c r="B16" s="31" t="s">
        <v>153</v>
      </c>
      <c r="C16" s="4" t="s">
        <v>168</v>
      </c>
      <c r="D16" s="4" t="s">
        <v>169</v>
      </c>
      <c r="E16" s="24">
        <v>4</v>
      </c>
      <c r="F16" s="24">
        <v>3</v>
      </c>
      <c r="G16" s="25">
        <v>4</v>
      </c>
      <c r="H16" s="25">
        <v>3</v>
      </c>
      <c r="I16" s="26">
        <f>IF(AND(ISNUMBER(G16),ISNUMBER(H16)),G16*H16,"—")</f>
        <v>0</v>
      </c>
      <c r="J16" s="26">
        <f>IF(I16="—","—",IF(I16&gt;=15,"Kritiek",IF(I16&gt;=8,"Hoog",IF(I16&gt;=4,"Middel","Laag"))))</f>
        <v>0</v>
      </c>
      <c r="K16" s="4" t="s">
        <v>170</v>
      </c>
      <c r="L16" s="4" t="s">
        <v>171</v>
      </c>
      <c r="M16" s="32" t="s">
        <v>94</v>
      </c>
      <c r="N16" s="33"/>
      <c r="O16" s="34" t="s">
        <v>158</v>
      </c>
      <c r="P16" s="34" t="s">
        <v>172</v>
      </c>
    </row>
    <row r="17" spans="1:16" ht="38" customHeight="1">
      <c r="A17" s="21" t="s">
        <v>173</v>
      </c>
      <c r="B17" s="22" t="s">
        <v>153</v>
      </c>
      <c r="C17" s="23" t="s">
        <v>174</v>
      </c>
      <c r="D17" s="23" t="s">
        <v>175</v>
      </c>
      <c r="E17" s="24">
        <v>3</v>
      </c>
      <c r="F17" s="24">
        <v>4</v>
      </c>
      <c r="G17" s="25">
        <v>3</v>
      </c>
      <c r="H17" s="25">
        <v>4</v>
      </c>
      <c r="I17" s="26">
        <f>IF(AND(ISNUMBER(G17),ISNUMBER(H17)),G17*H17,"—")</f>
        <v>0</v>
      </c>
      <c r="J17" s="26">
        <f>IF(I17="—","—",IF(I17&gt;=15,"Kritiek",IF(I17&gt;=8,"Hoog",IF(I17&gt;=4,"Middel","Laag"))))</f>
        <v>0</v>
      </c>
      <c r="K17" s="23" t="s">
        <v>176</v>
      </c>
      <c r="L17" s="23" t="s">
        <v>177</v>
      </c>
      <c r="M17" s="27" t="s">
        <v>94</v>
      </c>
      <c r="N17" s="28"/>
      <c r="O17" s="29" t="s">
        <v>165</v>
      </c>
      <c r="P17" s="29" t="s">
        <v>178</v>
      </c>
    </row>
    <row r="18" spans="1:16" ht="38" customHeight="1">
      <c r="A18" s="30" t="s">
        <v>179</v>
      </c>
      <c r="B18" s="31" t="s">
        <v>180</v>
      </c>
      <c r="C18" s="4" t="s">
        <v>181</v>
      </c>
      <c r="D18" s="4" t="s">
        <v>182</v>
      </c>
      <c r="E18" s="24">
        <v>5</v>
      </c>
      <c r="F18" s="24">
        <v>3</v>
      </c>
      <c r="G18" s="25">
        <v>5</v>
      </c>
      <c r="H18" s="25">
        <v>3</v>
      </c>
      <c r="I18" s="26">
        <f>IF(AND(ISNUMBER(G18),ISNUMBER(H18)),G18*H18,"—")</f>
        <v>0</v>
      </c>
      <c r="J18" s="26">
        <f>IF(I18="—","—",IF(I18&gt;=15,"Kritiek",IF(I18&gt;=8,"Hoog",IF(I18&gt;=4,"Middel","Laag"))))</f>
        <v>0</v>
      </c>
      <c r="K18" s="4" t="s">
        <v>183</v>
      </c>
      <c r="L18" s="4" t="s">
        <v>184</v>
      </c>
      <c r="M18" s="32" t="s">
        <v>94</v>
      </c>
      <c r="N18" s="33"/>
      <c r="O18" s="34" t="s">
        <v>185</v>
      </c>
      <c r="P18" s="34" t="s">
        <v>186</v>
      </c>
    </row>
    <row r="19" spans="1:16" ht="38" customHeight="1">
      <c r="A19" s="21" t="s">
        <v>187</v>
      </c>
      <c r="B19" s="22" t="s">
        <v>180</v>
      </c>
      <c r="C19" s="23" t="s">
        <v>188</v>
      </c>
      <c r="D19" s="23" t="s">
        <v>189</v>
      </c>
      <c r="E19" s="24">
        <v>4</v>
      </c>
      <c r="F19" s="24">
        <v>4</v>
      </c>
      <c r="G19" s="25">
        <v>4</v>
      </c>
      <c r="H19" s="25">
        <v>4</v>
      </c>
      <c r="I19" s="26">
        <f>IF(AND(ISNUMBER(G19),ISNUMBER(H19)),G19*H19,"—")</f>
        <v>0</v>
      </c>
      <c r="J19" s="26">
        <f>IF(I19="—","—",IF(I19&gt;=15,"Kritiek",IF(I19&gt;=8,"Hoog",IF(I19&gt;=4,"Middel","Laag"))))</f>
        <v>0</v>
      </c>
      <c r="K19" s="23" t="s">
        <v>190</v>
      </c>
      <c r="L19" s="23" t="s">
        <v>191</v>
      </c>
      <c r="M19" s="27" t="s">
        <v>94</v>
      </c>
      <c r="N19" s="28"/>
      <c r="O19" s="29" t="s">
        <v>192</v>
      </c>
      <c r="P19" s="29" t="s">
        <v>193</v>
      </c>
    </row>
    <row r="20" spans="1:16" ht="38" customHeight="1">
      <c r="A20" s="30" t="s">
        <v>194</v>
      </c>
      <c r="B20" s="31" t="s">
        <v>180</v>
      </c>
      <c r="C20" s="4" t="s">
        <v>195</v>
      </c>
      <c r="D20" s="4" t="s">
        <v>196</v>
      </c>
      <c r="E20" s="24">
        <v>3</v>
      </c>
      <c r="F20" s="24">
        <v>5</v>
      </c>
      <c r="G20" s="25">
        <v>3</v>
      </c>
      <c r="H20" s="25">
        <v>5</v>
      </c>
      <c r="I20" s="26">
        <f>IF(AND(ISNUMBER(G20),ISNUMBER(H20)),G20*H20,"—")</f>
        <v>0</v>
      </c>
      <c r="J20" s="26">
        <f>IF(I20="—","—",IF(I20&gt;=15,"Kritiek",IF(I20&gt;=8,"Hoog",IF(I20&gt;=4,"Middel","Laag"))))</f>
        <v>0</v>
      </c>
      <c r="K20" s="4" t="s">
        <v>197</v>
      </c>
      <c r="L20" s="4" t="s">
        <v>198</v>
      </c>
      <c r="M20" s="32" t="s">
        <v>94</v>
      </c>
      <c r="N20" s="33"/>
      <c r="O20" s="34" t="s">
        <v>199</v>
      </c>
      <c r="P20" s="34" t="s">
        <v>200</v>
      </c>
    </row>
    <row r="21" spans="1:16" ht="38" customHeight="1">
      <c r="A21" s="21" t="s">
        <v>201</v>
      </c>
      <c r="B21" s="22" t="s">
        <v>180</v>
      </c>
      <c r="C21" s="23" t="s">
        <v>202</v>
      </c>
      <c r="D21" s="23" t="s">
        <v>203</v>
      </c>
      <c r="E21" s="24">
        <v>5</v>
      </c>
      <c r="F21" s="24">
        <v>4</v>
      </c>
      <c r="G21" s="25">
        <v>5</v>
      </c>
      <c r="H21" s="25">
        <v>4</v>
      </c>
      <c r="I21" s="26">
        <f>IF(AND(ISNUMBER(G21),ISNUMBER(H21)),G21*H21,"—")</f>
        <v>0</v>
      </c>
      <c r="J21" s="26">
        <f>IF(I21="—","—",IF(I21&gt;=15,"Kritiek",IF(I21&gt;=8,"Hoog",IF(I21&gt;=4,"Middel","Laag"))))</f>
        <v>0</v>
      </c>
      <c r="K21" s="23" t="s">
        <v>204</v>
      </c>
      <c r="L21" s="23" t="s">
        <v>205</v>
      </c>
      <c r="M21" s="27" t="s">
        <v>94</v>
      </c>
      <c r="N21" s="28"/>
      <c r="O21" s="29" t="s">
        <v>206</v>
      </c>
      <c r="P21" s="29" t="s">
        <v>207</v>
      </c>
    </row>
    <row r="22" spans="1:16" ht="38" customHeight="1">
      <c r="A22" s="30" t="s">
        <v>208</v>
      </c>
      <c r="B22" s="31" t="s">
        <v>180</v>
      </c>
      <c r="C22" s="4" t="s">
        <v>209</v>
      </c>
      <c r="D22" s="4" t="s">
        <v>210</v>
      </c>
      <c r="E22" s="24">
        <v>3</v>
      </c>
      <c r="F22" s="24">
        <v>4</v>
      </c>
      <c r="G22" s="25">
        <v>3</v>
      </c>
      <c r="H22" s="25">
        <v>4</v>
      </c>
      <c r="I22" s="26">
        <f>IF(AND(ISNUMBER(G22),ISNUMBER(H22)),G22*H22,"—")</f>
        <v>0</v>
      </c>
      <c r="J22" s="26">
        <f>IF(I22="—","—",IF(I22&gt;=15,"Kritiek",IF(I22&gt;=8,"Hoog",IF(I22&gt;=4,"Middel","Laag"))))</f>
        <v>0</v>
      </c>
      <c r="K22" s="4" t="s">
        <v>211</v>
      </c>
      <c r="L22" s="4" t="s">
        <v>212</v>
      </c>
      <c r="M22" s="32" t="s">
        <v>94</v>
      </c>
      <c r="N22" s="33"/>
      <c r="O22" s="34" t="s">
        <v>206</v>
      </c>
      <c r="P22" s="34" t="s">
        <v>213</v>
      </c>
    </row>
    <row r="23" spans="1:16" ht="38" customHeight="1">
      <c r="A23" s="21" t="s">
        <v>214</v>
      </c>
      <c r="B23" s="22" t="s">
        <v>215</v>
      </c>
      <c r="C23" s="23" t="s">
        <v>216</v>
      </c>
      <c r="D23" s="23" t="s">
        <v>217</v>
      </c>
      <c r="E23" s="24">
        <v>3</v>
      </c>
      <c r="F23" s="24">
        <v>3</v>
      </c>
      <c r="G23" s="25">
        <v>3</v>
      </c>
      <c r="H23" s="25">
        <v>3</v>
      </c>
      <c r="I23" s="26">
        <f>IF(AND(ISNUMBER(G23),ISNUMBER(H23)),G23*H23,"—")</f>
        <v>0</v>
      </c>
      <c r="J23" s="26">
        <f>IF(I23="—","—",IF(I23&gt;=15,"Kritiek",IF(I23&gt;=8,"Hoog",IF(I23&gt;=4,"Middel","Laag"))))</f>
        <v>0</v>
      </c>
      <c r="K23" s="23" t="s">
        <v>218</v>
      </c>
      <c r="L23" s="23" t="s">
        <v>219</v>
      </c>
      <c r="M23" s="27" t="s">
        <v>94</v>
      </c>
      <c r="N23" s="28"/>
      <c r="O23" s="29" t="s">
        <v>122</v>
      </c>
      <c r="P23" s="29" t="s">
        <v>220</v>
      </c>
    </row>
    <row r="24" spans="1:16" ht="38" customHeight="1">
      <c r="A24" s="30" t="s">
        <v>221</v>
      </c>
      <c r="B24" s="31" t="s">
        <v>215</v>
      </c>
      <c r="C24" s="4" t="s">
        <v>222</v>
      </c>
      <c r="D24" s="4" t="s">
        <v>223</v>
      </c>
      <c r="E24" s="24">
        <v>4</v>
      </c>
      <c r="F24" s="24">
        <v>3</v>
      </c>
      <c r="G24" s="25">
        <v>4</v>
      </c>
      <c r="H24" s="25">
        <v>3</v>
      </c>
      <c r="I24" s="26">
        <f>IF(AND(ISNUMBER(G24),ISNUMBER(H24)),G24*H24,"—")</f>
        <v>0</v>
      </c>
      <c r="J24" s="26">
        <f>IF(I24="—","—",IF(I24&gt;=15,"Kritiek",IF(I24&gt;=8,"Hoog",IF(I24&gt;=4,"Middel","Laag"))))</f>
        <v>0</v>
      </c>
      <c r="K24" s="4" t="s">
        <v>224</v>
      </c>
      <c r="L24" s="4" t="s">
        <v>225</v>
      </c>
      <c r="M24" s="32" t="s">
        <v>94</v>
      </c>
      <c r="N24" s="33"/>
      <c r="O24" s="34" t="s">
        <v>122</v>
      </c>
      <c r="P24" s="34" t="s">
        <v>226</v>
      </c>
    </row>
    <row r="25" spans="1:16" ht="38" customHeight="1">
      <c r="A25" s="21" t="s">
        <v>227</v>
      </c>
      <c r="B25" s="22" t="s">
        <v>215</v>
      </c>
      <c r="C25" s="23" t="s">
        <v>228</v>
      </c>
      <c r="D25" s="23" t="s">
        <v>229</v>
      </c>
      <c r="E25" s="24">
        <v>3</v>
      </c>
      <c r="F25" s="24">
        <v>3</v>
      </c>
      <c r="G25" s="25">
        <v>3</v>
      </c>
      <c r="H25" s="25">
        <v>3</v>
      </c>
      <c r="I25" s="26">
        <f>IF(AND(ISNUMBER(G25),ISNUMBER(H25)),G25*H25,"—")</f>
        <v>0</v>
      </c>
      <c r="J25" s="26">
        <f>IF(I25="—","—",IF(I25&gt;=15,"Kritiek",IF(I25&gt;=8,"Hoog",IF(I25&gt;=4,"Middel","Laag"))))</f>
        <v>0</v>
      </c>
      <c r="K25" s="23" t="s">
        <v>230</v>
      </c>
      <c r="L25" s="23" t="s">
        <v>231</v>
      </c>
      <c r="M25" s="27" t="s">
        <v>94</v>
      </c>
      <c r="N25" s="28"/>
      <c r="O25" s="29" t="s">
        <v>232</v>
      </c>
      <c r="P25" s="29" t="s">
        <v>233</v>
      </c>
    </row>
    <row r="26" spans="1:16" ht="38" customHeight="1">
      <c r="A26" s="30" t="s">
        <v>234</v>
      </c>
      <c r="B26" s="31" t="s">
        <v>215</v>
      </c>
      <c r="C26" s="4" t="s">
        <v>235</v>
      </c>
      <c r="D26" s="4" t="s">
        <v>236</v>
      </c>
      <c r="E26" s="24">
        <v>3</v>
      </c>
      <c r="F26" s="24">
        <v>3</v>
      </c>
      <c r="G26" s="25">
        <v>3</v>
      </c>
      <c r="H26" s="25">
        <v>3</v>
      </c>
      <c r="I26" s="26">
        <f>IF(AND(ISNUMBER(G26),ISNUMBER(H26)),G26*H26,"—")</f>
        <v>0</v>
      </c>
      <c r="J26" s="26">
        <f>IF(I26="—","—",IF(I26&gt;=15,"Kritiek",IF(I26&gt;=8,"Hoog",IF(I26&gt;=4,"Middel","Laag"))))</f>
        <v>0</v>
      </c>
      <c r="K26" s="4" t="s">
        <v>237</v>
      </c>
      <c r="L26" s="4" t="s">
        <v>238</v>
      </c>
      <c r="M26" s="32" t="s">
        <v>94</v>
      </c>
      <c r="N26" s="33"/>
      <c r="O26" s="34" t="s">
        <v>165</v>
      </c>
      <c r="P26" s="34" t="s">
        <v>178</v>
      </c>
    </row>
    <row r="27" spans="1:16" ht="38" customHeight="1">
      <c r="A27" s="21" t="s">
        <v>239</v>
      </c>
      <c r="B27" s="22" t="s">
        <v>240</v>
      </c>
      <c r="C27" s="23" t="s">
        <v>241</v>
      </c>
      <c r="D27" s="23" t="s">
        <v>242</v>
      </c>
      <c r="E27" s="24">
        <v>4</v>
      </c>
      <c r="F27" s="24">
        <v>3</v>
      </c>
      <c r="G27" s="25">
        <v>4</v>
      </c>
      <c r="H27" s="25">
        <v>3</v>
      </c>
      <c r="I27" s="26">
        <f>IF(AND(ISNUMBER(G27),ISNUMBER(H27)),G27*H27,"—")</f>
        <v>0</v>
      </c>
      <c r="J27" s="26">
        <f>IF(I27="—","—",IF(I27&gt;=15,"Kritiek",IF(I27&gt;=8,"Hoog",IF(I27&gt;=4,"Middel","Laag"))))</f>
        <v>0</v>
      </c>
      <c r="K27" s="23" t="s">
        <v>243</v>
      </c>
      <c r="L27" s="23" t="s">
        <v>244</v>
      </c>
      <c r="M27" s="27" t="s">
        <v>94</v>
      </c>
      <c r="N27" s="28"/>
      <c r="O27" s="29" t="s">
        <v>95</v>
      </c>
      <c r="P27" s="29" t="s">
        <v>245</v>
      </c>
    </row>
    <row r="28" spans="1:16" ht="38" customHeight="1">
      <c r="A28" s="30" t="s">
        <v>246</v>
      </c>
      <c r="B28" s="31" t="s">
        <v>240</v>
      </c>
      <c r="C28" s="4" t="s">
        <v>247</v>
      </c>
      <c r="D28" s="4" t="s">
        <v>248</v>
      </c>
      <c r="E28" s="24">
        <v>3</v>
      </c>
      <c r="F28" s="24">
        <v>3</v>
      </c>
      <c r="G28" s="25">
        <v>3</v>
      </c>
      <c r="H28" s="25">
        <v>3</v>
      </c>
      <c r="I28" s="26">
        <f>IF(AND(ISNUMBER(G28),ISNUMBER(H28)),G28*H28,"—")</f>
        <v>0</v>
      </c>
      <c r="J28" s="26">
        <f>IF(I28="—","—",IF(I28&gt;=15,"Kritiek",IF(I28&gt;=8,"Hoog",IF(I28&gt;=4,"Middel","Laag"))))</f>
        <v>0</v>
      </c>
      <c r="K28" s="4" t="s">
        <v>249</v>
      </c>
      <c r="L28" s="4" t="s">
        <v>250</v>
      </c>
      <c r="M28" s="32" t="s">
        <v>94</v>
      </c>
      <c r="N28" s="33"/>
      <c r="O28" s="34" t="s">
        <v>122</v>
      </c>
      <c r="P28" s="34" t="s">
        <v>251</v>
      </c>
    </row>
    <row r="29" spans="1:16" ht="38" customHeight="1">
      <c r="A29" s="21" t="s">
        <v>252</v>
      </c>
      <c r="B29" s="22" t="s">
        <v>240</v>
      </c>
      <c r="C29" s="23" t="s">
        <v>253</v>
      </c>
      <c r="D29" s="23" t="s">
        <v>254</v>
      </c>
      <c r="E29" s="24">
        <v>2</v>
      </c>
      <c r="F29" s="24">
        <v>4</v>
      </c>
      <c r="G29" s="25">
        <v>2</v>
      </c>
      <c r="H29" s="25">
        <v>4</v>
      </c>
      <c r="I29" s="26">
        <f>IF(AND(ISNUMBER(G29),ISNUMBER(H29)),G29*H29,"—")</f>
        <v>0</v>
      </c>
      <c r="J29" s="26">
        <f>IF(I29="—","—",IF(I29&gt;=15,"Kritiek",IF(I29&gt;=8,"Hoog",IF(I29&gt;=4,"Middel","Laag"))))</f>
        <v>0</v>
      </c>
      <c r="K29" s="23" t="s">
        <v>255</v>
      </c>
      <c r="L29" s="23" t="s">
        <v>256</v>
      </c>
      <c r="M29" s="27" t="s">
        <v>94</v>
      </c>
      <c r="N29" s="28"/>
      <c r="O29" s="29" t="s">
        <v>122</v>
      </c>
      <c r="P29" s="29" t="s">
        <v>257</v>
      </c>
    </row>
    <row r="30" spans="1:16" ht="38" customHeight="1">
      <c r="A30" s="30" t="s">
        <v>258</v>
      </c>
      <c r="B30" s="31" t="s">
        <v>259</v>
      </c>
      <c r="C30" s="4" t="s">
        <v>260</v>
      </c>
      <c r="D30" s="4" t="s">
        <v>261</v>
      </c>
      <c r="E30" s="24">
        <v>2</v>
      </c>
      <c r="F30" s="24">
        <v>5</v>
      </c>
      <c r="G30" s="25">
        <v>2</v>
      </c>
      <c r="H30" s="25">
        <v>5</v>
      </c>
      <c r="I30" s="26">
        <f>IF(AND(ISNUMBER(G30),ISNUMBER(H30)),G30*H30,"—")</f>
        <v>0</v>
      </c>
      <c r="J30" s="26">
        <f>IF(I30="—","—",IF(I30&gt;=15,"Kritiek",IF(I30&gt;=8,"Hoog",IF(I30&gt;=4,"Middel","Laag"))))</f>
        <v>0</v>
      </c>
      <c r="K30" s="4" t="s">
        <v>262</v>
      </c>
      <c r="L30" s="4" t="s">
        <v>263</v>
      </c>
      <c r="M30" s="32" t="s">
        <v>94</v>
      </c>
      <c r="N30" s="33"/>
      <c r="O30" s="34" t="s">
        <v>264</v>
      </c>
      <c r="P30" s="34" t="s">
        <v>265</v>
      </c>
    </row>
    <row r="31" spans="1:16" ht="38" customHeight="1">
      <c r="A31" s="21" t="s">
        <v>266</v>
      </c>
      <c r="B31" s="22" t="s">
        <v>259</v>
      </c>
      <c r="C31" s="23" t="s">
        <v>267</v>
      </c>
      <c r="D31" s="23" t="s">
        <v>268</v>
      </c>
      <c r="E31" s="24">
        <v>5</v>
      </c>
      <c r="F31" s="24">
        <v>3</v>
      </c>
      <c r="G31" s="25">
        <v>5</v>
      </c>
      <c r="H31" s="25">
        <v>3</v>
      </c>
      <c r="I31" s="26">
        <f>IF(AND(ISNUMBER(G31),ISNUMBER(H31)),G31*H31,"—")</f>
        <v>0</v>
      </c>
      <c r="J31" s="26">
        <f>IF(I31="—","—",IF(I31&gt;=15,"Kritiek",IF(I31&gt;=8,"Hoog",IF(I31&gt;=4,"Middel","Laag"))))</f>
        <v>0</v>
      </c>
      <c r="K31" s="23" t="s">
        <v>269</v>
      </c>
      <c r="L31" s="23" t="s">
        <v>270</v>
      </c>
      <c r="M31" s="27" t="s">
        <v>94</v>
      </c>
      <c r="N31" s="28"/>
      <c r="O31" s="29" t="s">
        <v>130</v>
      </c>
      <c r="P31" s="29" t="s">
        <v>271</v>
      </c>
    </row>
    <row r="32" spans="1:16" ht="38" customHeight="1">
      <c r="A32" s="30" t="s">
        <v>272</v>
      </c>
      <c r="B32" s="31" t="s">
        <v>259</v>
      </c>
      <c r="C32" s="4" t="s">
        <v>273</v>
      </c>
      <c r="D32" s="4" t="s">
        <v>274</v>
      </c>
      <c r="E32" s="24">
        <v>3</v>
      </c>
      <c r="F32" s="24">
        <v>3</v>
      </c>
      <c r="G32" s="25">
        <v>3</v>
      </c>
      <c r="H32" s="25">
        <v>3</v>
      </c>
      <c r="I32" s="26">
        <f>IF(AND(ISNUMBER(G32),ISNUMBER(H32)),G32*H32,"—")</f>
        <v>0</v>
      </c>
      <c r="J32" s="26">
        <f>IF(I32="—","—",IF(I32&gt;=15,"Kritiek",IF(I32&gt;=8,"Hoog",IF(I32&gt;=4,"Middel","Laag"))))</f>
        <v>0</v>
      </c>
      <c r="K32" s="4" t="s">
        <v>275</v>
      </c>
      <c r="L32" s="4" t="s">
        <v>276</v>
      </c>
      <c r="M32" s="32" t="s">
        <v>94</v>
      </c>
      <c r="N32" s="33"/>
      <c r="O32" s="34" t="s">
        <v>264</v>
      </c>
      <c r="P32" s="34" t="s">
        <v>277</v>
      </c>
    </row>
    <row r="33" spans="1:16" ht="38" customHeight="1">
      <c r="A33" s="21" t="s">
        <v>278</v>
      </c>
      <c r="B33" s="22" t="s">
        <v>279</v>
      </c>
      <c r="C33" s="23" t="s">
        <v>280</v>
      </c>
      <c r="D33" s="23" t="s">
        <v>281</v>
      </c>
      <c r="E33" s="24">
        <v>4</v>
      </c>
      <c r="F33" s="24">
        <v>5</v>
      </c>
      <c r="G33" s="25">
        <v>4</v>
      </c>
      <c r="H33" s="25">
        <v>5</v>
      </c>
      <c r="I33" s="26">
        <f>IF(AND(ISNUMBER(G33),ISNUMBER(H33)),G33*H33,"—")</f>
        <v>0</v>
      </c>
      <c r="J33" s="26">
        <f>IF(I33="—","—",IF(I33&gt;=15,"Kritiek",IF(I33&gt;=8,"Hoog",IF(I33&gt;=4,"Middel","Laag"))))</f>
        <v>0</v>
      </c>
      <c r="K33" s="23" t="s">
        <v>282</v>
      </c>
      <c r="L33" s="23" t="s">
        <v>283</v>
      </c>
      <c r="M33" s="27" t="s">
        <v>94</v>
      </c>
      <c r="N33" s="28"/>
      <c r="O33" s="29" t="s">
        <v>95</v>
      </c>
      <c r="P33" s="29" t="s">
        <v>102</v>
      </c>
    </row>
    <row r="34" spans="1:16" ht="38" customHeight="1">
      <c r="A34" s="30" t="s">
        <v>284</v>
      </c>
      <c r="B34" s="31" t="s">
        <v>279</v>
      </c>
      <c r="C34" s="4" t="s">
        <v>285</v>
      </c>
      <c r="D34" s="4" t="s">
        <v>286</v>
      </c>
      <c r="E34" s="24">
        <v>4</v>
      </c>
      <c r="F34" s="24">
        <v>4</v>
      </c>
      <c r="G34" s="25">
        <v>4</v>
      </c>
      <c r="H34" s="25">
        <v>4</v>
      </c>
      <c r="I34" s="26">
        <f>IF(AND(ISNUMBER(G34),ISNUMBER(H34)),G34*H34,"—")</f>
        <v>0</v>
      </c>
      <c r="J34" s="26">
        <f>IF(I34="—","—",IF(I34&gt;=15,"Kritiek",IF(I34&gt;=8,"Hoog",IF(I34&gt;=4,"Middel","Laag"))))</f>
        <v>0</v>
      </c>
      <c r="K34" s="4" t="s">
        <v>287</v>
      </c>
      <c r="L34" s="4" t="s">
        <v>288</v>
      </c>
      <c r="M34" s="32" t="s">
        <v>94</v>
      </c>
      <c r="N34" s="33"/>
      <c r="O34" s="34" t="s">
        <v>122</v>
      </c>
      <c r="P34" s="34" t="s">
        <v>289</v>
      </c>
    </row>
    <row r="35" spans="1:16" ht="38" customHeight="1">
      <c r="A35" s="21" t="s">
        <v>290</v>
      </c>
      <c r="B35" s="22" t="s">
        <v>279</v>
      </c>
      <c r="C35" s="23" t="s">
        <v>291</v>
      </c>
      <c r="D35" s="23" t="s">
        <v>292</v>
      </c>
      <c r="E35" s="24">
        <v>5</v>
      </c>
      <c r="F35" s="24">
        <v>4</v>
      </c>
      <c r="G35" s="25">
        <v>5</v>
      </c>
      <c r="H35" s="25">
        <v>4</v>
      </c>
      <c r="I35" s="26">
        <f>IF(AND(ISNUMBER(G35),ISNUMBER(H35)),G35*H35,"—")</f>
        <v>0</v>
      </c>
      <c r="J35" s="26">
        <f>IF(I35="—","—",IF(I35&gt;=15,"Kritiek",IF(I35&gt;=8,"Hoog",IF(I35&gt;=4,"Middel","Laag"))))</f>
        <v>0</v>
      </c>
      <c r="K35" s="23" t="s">
        <v>293</v>
      </c>
      <c r="L35" s="23" t="s">
        <v>294</v>
      </c>
      <c r="M35" s="27" t="s">
        <v>94</v>
      </c>
      <c r="N35" s="28"/>
      <c r="O35" s="29" t="s">
        <v>122</v>
      </c>
      <c r="P35" s="29" t="s">
        <v>295</v>
      </c>
    </row>
    <row r="36" spans="1:16" ht="38" customHeight="1">
      <c r="A36" s="30" t="s">
        <v>296</v>
      </c>
      <c r="B36" s="31" t="s">
        <v>279</v>
      </c>
      <c r="C36" s="4" t="s">
        <v>297</v>
      </c>
      <c r="D36" s="4" t="s">
        <v>298</v>
      </c>
      <c r="E36" s="24">
        <v>3</v>
      </c>
      <c r="F36" s="24">
        <v>5</v>
      </c>
      <c r="G36" s="25">
        <v>3</v>
      </c>
      <c r="H36" s="25">
        <v>5</v>
      </c>
      <c r="I36" s="26">
        <f>IF(AND(ISNUMBER(G36),ISNUMBER(H36)),G36*H36,"—")</f>
        <v>0</v>
      </c>
      <c r="J36" s="26">
        <f>IF(I36="—","—",IF(I36&gt;=15,"Kritiek",IF(I36&gt;=8,"Hoog",IF(I36&gt;=4,"Middel","Laag"))))</f>
        <v>0</v>
      </c>
      <c r="K36" s="4" t="s">
        <v>299</v>
      </c>
      <c r="L36" s="4" t="s">
        <v>300</v>
      </c>
      <c r="M36" s="32" t="s">
        <v>94</v>
      </c>
      <c r="N36" s="33"/>
      <c r="O36" s="34" t="s">
        <v>95</v>
      </c>
      <c r="P36" s="34" t="s">
        <v>301</v>
      </c>
    </row>
    <row r="37" spans="1:16" ht="38" customHeight="1">
      <c r="A37" s="21" t="s">
        <v>302</v>
      </c>
      <c r="B37" s="22" t="s">
        <v>303</v>
      </c>
      <c r="C37" s="23" t="s">
        <v>304</v>
      </c>
      <c r="D37" s="23" t="s">
        <v>305</v>
      </c>
      <c r="E37" s="24">
        <v>3</v>
      </c>
      <c r="F37" s="24">
        <v>4</v>
      </c>
      <c r="G37" s="25">
        <v>3</v>
      </c>
      <c r="H37" s="25">
        <v>4</v>
      </c>
      <c r="I37" s="26">
        <f>IF(AND(ISNUMBER(G37),ISNUMBER(H37)),G37*H37,"—")</f>
        <v>0</v>
      </c>
      <c r="J37" s="26">
        <f>IF(I37="—","—",IF(I37&gt;=15,"Kritiek",IF(I37&gt;=8,"Hoog",IF(I37&gt;=4,"Middel","Laag"))))</f>
        <v>0</v>
      </c>
      <c r="K37" s="23" t="s">
        <v>306</v>
      </c>
      <c r="L37" s="23" t="s">
        <v>307</v>
      </c>
      <c r="M37" s="27" t="s">
        <v>94</v>
      </c>
      <c r="N37" s="28"/>
      <c r="O37" s="29" t="s">
        <v>308</v>
      </c>
      <c r="P37" s="29" t="s">
        <v>309</v>
      </c>
    </row>
    <row r="38" spans="1:16" ht="38" customHeight="1">
      <c r="A38" s="30" t="s">
        <v>310</v>
      </c>
      <c r="B38" s="31" t="s">
        <v>303</v>
      </c>
      <c r="C38" s="4" t="s">
        <v>311</v>
      </c>
      <c r="D38" s="4" t="s">
        <v>312</v>
      </c>
      <c r="E38" s="24">
        <v>3</v>
      </c>
      <c r="F38" s="24">
        <v>4</v>
      </c>
      <c r="G38" s="25">
        <v>3</v>
      </c>
      <c r="H38" s="25">
        <v>4</v>
      </c>
      <c r="I38" s="26">
        <f>IF(AND(ISNUMBER(G38),ISNUMBER(H38)),G38*H38,"—")</f>
        <v>0</v>
      </c>
      <c r="J38" s="26">
        <f>IF(I38="—","—",IF(I38&gt;=15,"Kritiek",IF(I38&gt;=8,"Hoog",IF(I38&gt;=4,"Middel","Laag"))))</f>
        <v>0</v>
      </c>
      <c r="K38" s="4" t="s">
        <v>313</v>
      </c>
      <c r="L38" s="4" t="s">
        <v>314</v>
      </c>
      <c r="M38" s="32" t="s">
        <v>94</v>
      </c>
      <c r="N38" s="33"/>
      <c r="O38" s="34" t="s">
        <v>308</v>
      </c>
      <c r="P38" s="34" t="s">
        <v>315</v>
      </c>
    </row>
    <row r="39" spans="1:16" ht="38" customHeight="1">
      <c r="A39" s="21" t="s">
        <v>316</v>
      </c>
      <c r="B39" s="22" t="s">
        <v>303</v>
      </c>
      <c r="C39" s="23" t="s">
        <v>317</v>
      </c>
      <c r="D39" s="23" t="s">
        <v>318</v>
      </c>
      <c r="E39" s="24">
        <v>3</v>
      </c>
      <c r="F39" s="24">
        <v>3</v>
      </c>
      <c r="G39" s="25">
        <v>3</v>
      </c>
      <c r="H39" s="25">
        <v>3</v>
      </c>
      <c r="I39" s="26">
        <f>IF(AND(ISNUMBER(G39),ISNUMBER(H39)),G39*H39,"—")</f>
        <v>0</v>
      </c>
      <c r="J39" s="26">
        <f>IF(I39="—","—",IF(I39&gt;=15,"Kritiek",IF(I39&gt;=8,"Hoog",IF(I39&gt;=4,"Middel","Laag"))))</f>
        <v>0</v>
      </c>
      <c r="K39" s="23" t="s">
        <v>319</v>
      </c>
      <c r="L39" s="23" t="s">
        <v>320</v>
      </c>
      <c r="M39" s="27" t="s">
        <v>94</v>
      </c>
      <c r="N39" s="28"/>
      <c r="O39" s="29" t="s">
        <v>321</v>
      </c>
      <c r="P39" s="29" t="s">
        <v>322</v>
      </c>
    </row>
    <row r="40" spans="1:16" ht="38" customHeight="1">
      <c r="A40" s="30" t="s">
        <v>323</v>
      </c>
      <c r="B40" s="31" t="s">
        <v>303</v>
      </c>
      <c r="C40" s="4" t="s">
        <v>324</v>
      </c>
      <c r="D40" s="4" t="s">
        <v>325</v>
      </c>
      <c r="E40" s="24">
        <v>2</v>
      </c>
      <c r="F40" s="24">
        <v>4</v>
      </c>
      <c r="G40" s="25">
        <v>2</v>
      </c>
      <c r="H40" s="25">
        <v>4</v>
      </c>
      <c r="I40" s="26">
        <f>IF(AND(ISNUMBER(G40),ISNUMBER(H40)),G40*H40,"—")</f>
        <v>0</v>
      </c>
      <c r="J40" s="26">
        <f>IF(I40="—","—",IF(I40&gt;=15,"Kritiek",IF(I40&gt;=8,"Hoog",IF(I40&gt;=4,"Middel","Laag"))))</f>
        <v>0</v>
      </c>
      <c r="K40" s="4" t="s">
        <v>326</v>
      </c>
      <c r="L40" s="4" t="s">
        <v>327</v>
      </c>
      <c r="M40" s="32" t="s">
        <v>94</v>
      </c>
      <c r="N40" s="33"/>
      <c r="O40" s="34" t="s">
        <v>308</v>
      </c>
      <c r="P40" s="34" t="s">
        <v>328</v>
      </c>
    </row>
    <row r="41" spans="1:16" ht="38" customHeight="1">
      <c r="A41" s="21" t="s">
        <v>329</v>
      </c>
      <c r="B41" s="22" t="s">
        <v>330</v>
      </c>
      <c r="C41" s="23" t="s">
        <v>331</v>
      </c>
      <c r="D41" s="23" t="s">
        <v>332</v>
      </c>
      <c r="E41" s="24">
        <v>5</v>
      </c>
      <c r="F41" s="24">
        <v>3</v>
      </c>
      <c r="G41" s="25">
        <v>5</v>
      </c>
      <c r="H41" s="25">
        <v>3</v>
      </c>
      <c r="I41" s="26">
        <f>IF(AND(ISNUMBER(G41),ISNUMBER(H41)),G41*H41,"—")</f>
        <v>0</v>
      </c>
      <c r="J41" s="26">
        <f>IF(I41="—","—",IF(I41&gt;=15,"Kritiek",IF(I41&gt;=8,"Hoog",IF(I41&gt;=4,"Middel","Laag"))))</f>
        <v>0</v>
      </c>
      <c r="K41" s="23" t="s">
        <v>333</v>
      </c>
      <c r="L41" s="23" t="s">
        <v>334</v>
      </c>
      <c r="M41" s="27" t="s">
        <v>94</v>
      </c>
      <c r="N41" s="28"/>
      <c r="O41" s="29" t="s">
        <v>122</v>
      </c>
      <c r="P41" s="29" t="s">
        <v>335</v>
      </c>
    </row>
    <row r="42" spans="1:16" ht="38" customHeight="1">
      <c r="A42" s="30" t="s">
        <v>336</v>
      </c>
      <c r="B42" s="31" t="s">
        <v>330</v>
      </c>
      <c r="C42" s="4" t="s">
        <v>337</v>
      </c>
      <c r="D42" s="4" t="s">
        <v>338</v>
      </c>
      <c r="E42" s="24">
        <v>4</v>
      </c>
      <c r="F42" s="24">
        <v>4</v>
      </c>
      <c r="G42" s="25">
        <v>4</v>
      </c>
      <c r="H42" s="25">
        <v>4</v>
      </c>
      <c r="I42" s="26">
        <f>IF(AND(ISNUMBER(G42),ISNUMBER(H42)),G42*H42,"—")</f>
        <v>0</v>
      </c>
      <c r="J42" s="26">
        <f>IF(I42="—","—",IF(I42&gt;=15,"Kritiek",IF(I42&gt;=8,"Hoog",IF(I42&gt;=4,"Middel","Laag"))))</f>
        <v>0</v>
      </c>
      <c r="K42" s="4" t="s">
        <v>339</v>
      </c>
      <c r="L42" s="4" t="s">
        <v>340</v>
      </c>
      <c r="M42" s="32" t="s">
        <v>94</v>
      </c>
      <c r="N42" s="33"/>
      <c r="O42" s="34" t="s">
        <v>122</v>
      </c>
      <c r="P42" s="34" t="s">
        <v>341</v>
      </c>
    </row>
    <row r="43" spans="1:16" ht="38" customHeight="1">
      <c r="A43" s="21" t="s">
        <v>342</v>
      </c>
      <c r="B43" s="22" t="s">
        <v>330</v>
      </c>
      <c r="C43" s="23" t="s">
        <v>343</v>
      </c>
      <c r="D43" s="23" t="s">
        <v>344</v>
      </c>
      <c r="E43" s="24">
        <v>4</v>
      </c>
      <c r="F43" s="24">
        <v>3</v>
      </c>
      <c r="G43" s="25">
        <v>4</v>
      </c>
      <c r="H43" s="25">
        <v>3</v>
      </c>
      <c r="I43" s="26">
        <f>IF(AND(ISNUMBER(G43),ISNUMBER(H43)),G43*H43,"—")</f>
        <v>0</v>
      </c>
      <c r="J43" s="26">
        <f>IF(I43="—","—",IF(I43&gt;=15,"Kritiek",IF(I43&gt;=8,"Hoog",IF(I43&gt;=4,"Middel","Laag"))))</f>
        <v>0</v>
      </c>
      <c r="K43" s="23" t="s">
        <v>345</v>
      </c>
      <c r="L43" s="23" t="s">
        <v>346</v>
      </c>
      <c r="M43" s="27" t="s">
        <v>94</v>
      </c>
      <c r="N43" s="28"/>
      <c r="O43" s="29" t="s">
        <v>347</v>
      </c>
      <c r="P43" s="29" t="s">
        <v>348</v>
      </c>
    </row>
    <row r="44" spans="1:16" ht="38" customHeight="1">
      <c r="A44" s="30" t="s">
        <v>349</v>
      </c>
      <c r="B44" s="31" t="s">
        <v>330</v>
      </c>
      <c r="C44" s="4" t="s">
        <v>350</v>
      </c>
      <c r="D44" s="4" t="s">
        <v>351</v>
      </c>
      <c r="E44" s="24">
        <v>4</v>
      </c>
      <c r="F44" s="24">
        <v>3</v>
      </c>
      <c r="G44" s="25">
        <v>4</v>
      </c>
      <c r="H44" s="25">
        <v>3</v>
      </c>
      <c r="I44" s="26">
        <f>IF(AND(ISNUMBER(G44),ISNUMBER(H44)),G44*H44,"—")</f>
        <v>0</v>
      </c>
      <c r="J44" s="26">
        <f>IF(I44="—","—",IF(I44&gt;=15,"Kritiek",IF(I44&gt;=8,"Hoog",IF(I44&gt;=4,"Middel","Laag"))))</f>
        <v>0</v>
      </c>
      <c r="K44" s="4" t="s">
        <v>352</v>
      </c>
      <c r="L44" s="4" t="s">
        <v>353</v>
      </c>
      <c r="M44" s="32" t="s">
        <v>94</v>
      </c>
      <c r="N44" s="33"/>
      <c r="O44" s="34" t="s">
        <v>185</v>
      </c>
      <c r="P44" s="34" t="s">
        <v>354</v>
      </c>
    </row>
    <row r="45" spans="1:16" ht="38" customHeight="1">
      <c r="A45" s="21" t="s">
        <v>355</v>
      </c>
      <c r="B45" s="22" t="s">
        <v>330</v>
      </c>
      <c r="C45" s="23" t="s">
        <v>356</v>
      </c>
      <c r="D45" s="23" t="s">
        <v>357</v>
      </c>
      <c r="E45" s="24">
        <v>3</v>
      </c>
      <c r="F45" s="24">
        <v>4</v>
      </c>
      <c r="G45" s="25">
        <v>3</v>
      </c>
      <c r="H45" s="25">
        <v>4</v>
      </c>
      <c r="I45" s="26">
        <f>IF(AND(ISNUMBER(G45),ISNUMBER(H45)),G45*H45,"—")</f>
        <v>0</v>
      </c>
      <c r="J45" s="26">
        <f>IF(I45="—","—",IF(I45&gt;=15,"Kritiek",IF(I45&gt;=8,"Hoog",IF(I45&gt;=4,"Middel","Laag"))))</f>
        <v>0</v>
      </c>
      <c r="K45" s="23" t="s">
        <v>358</v>
      </c>
      <c r="L45" s="23" t="s">
        <v>359</v>
      </c>
      <c r="M45" s="27" t="s">
        <v>94</v>
      </c>
      <c r="N45" s="28"/>
      <c r="O45" s="29" t="s">
        <v>360</v>
      </c>
      <c r="P45" s="29" t="s">
        <v>361</v>
      </c>
    </row>
    <row r="46" spans="1:16" ht="38" customHeight="1">
      <c r="A46" s="30" t="s">
        <v>362</v>
      </c>
      <c r="B46" s="31" t="s">
        <v>330</v>
      </c>
      <c r="C46" s="4" t="s">
        <v>363</v>
      </c>
      <c r="D46" s="4" t="s">
        <v>364</v>
      </c>
      <c r="E46" s="24">
        <v>3</v>
      </c>
      <c r="F46" s="24">
        <v>4</v>
      </c>
      <c r="G46" s="25">
        <v>3</v>
      </c>
      <c r="H46" s="25">
        <v>4</v>
      </c>
      <c r="I46" s="26">
        <f>IF(AND(ISNUMBER(G46),ISNUMBER(H46)),G46*H46,"—")</f>
        <v>0</v>
      </c>
      <c r="J46" s="26">
        <f>IF(I46="—","—",IF(I46&gt;=15,"Kritiek",IF(I46&gt;=8,"Hoog",IF(I46&gt;=4,"Middel","Laag"))))</f>
        <v>0</v>
      </c>
      <c r="K46" s="4" t="s">
        <v>365</v>
      </c>
      <c r="L46" s="4" t="s">
        <v>366</v>
      </c>
      <c r="M46" s="32" t="s">
        <v>94</v>
      </c>
      <c r="N46" s="33"/>
      <c r="O46" s="34" t="s">
        <v>367</v>
      </c>
      <c r="P46" s="34" t="s">
        <v>368</v>
      </c>
    </row>
    <row r="48" spans="1:16">
      <c r="A48" s="8" t="s">
        <v>369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</sheetData>
  <sheetProtection sheet="1" objects="1" scenarios="1"/>
  <mergeCells count="6">
    <mergeCell ref="A1:J1"/>
    <mergeCell ref="K1:P1"/>
    <mergeCell ref="B2:D2"/>
    <mergeCell ref="N2:P2"/>
    <mergeCell ref="A3:P3"/>
    <mergeCell ref="A48:P48"/>
  </mergeCells>
  <conditionalFormatting sqref="I5:I46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J5:J46">
    <cfRule type="expression" dxfId="0" priority="5">
      <formula>AND(ISNUMBER(I5),I5&gt;=15)</formula>
    </cfRule>
    <cfRule type="expression" dxfId="1" priority="6">
      <formula>AND(ISNUMBER(I5),I5&gt;=8,I5&lt;15)</formula>
    </cfRule>
    <cfRule type="expression" dxfId="2" priority="7">
      <formula>AND(ISNUMBER(I5),I5&gt;=4,I5&lt;8)</formula>
    </cfRule>
    <cfRule type="expression" dxfId="3" priority="8">
      <formula>AND(ISNUMBER(I5),I5&gt;=1,I5&lt;4)</formula>
    </cfRule>
  </conditionalFormatting>
  <dataValidations count="3">
    <dataValidation type="list" allowBlank="1" showInputMessage="1" showErrorMessage="1" sqref="M5:M46">
      <formula1>"Ja,Nee,Deels"</formula1>
    </dataValidation>
    <dataValidation type="list" allowBlank="1" showInputMessage="1" showErrorMessage="1" sqref="G5:G46">
      <formula1>"1,2,3,4,5"</formula1>
    </dataValidation>
    <dataValidation type="list" allowBlank="1" showInputMessage="1" showErrorMessage="1" sqref="H5:H46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8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</cols>
  <sheetData>
    <row r="1" spans="1:16" ht="44" customHeight="1">
      <c r="A1" s="35" t="s">
        <v>370</v>
      </c>
      <c r="B1" s="35"/>
      <c r="C1" s="35"/>
      <c r="D1" s="35"/>
      <c r="E1" s="35"/>
      <c r="F1" s="35"/>
      <c r="G1" s="35"/>
      <c r="H1" s="35"/>
      <c r="I1" s="35"/>
      <c r="J1" s="35"/>
      <c r="K1" s="36" t="s">
        <v>64</v>
      </c>
      <c r="L1" s="36"/>
      <c r="M1" s="36"/>
      <c r="N1" s="36"/>
      <c r="O1" s="36"/>
      <c r="P1" s="36"/>
    </row>
    <row r="2" spans="1:16" ht="20" customHeight="1">
      <c r="A2" s="11" t="s">
        <v>65</v>
      </c>
      <c r="B2" s="12" t="s">
        <v>31</v>
      </c>
      <c r="C2" s="12"/>
      <c r="D2" s="12"/>
      <c r="E2" s="11" t="s">
        <v>66</v>
      </c>
      <c r="F2" s="13">
        <f>COUNTA(C5:C46)</f>
        <v>0</v>
      </c>
      <c r="G2" s="11" t="s">
        <v>67</v>
      </c>
      <c r="H2" s="14">
        <f>COUNTIF(J5:J46,"Kritiek")</f>
        <v>0</v>
      </c>
      <c r="I2" s="11" t="s">
        <v>68</v>
      </c>
      <c r="J2" s="15">
        <f>COUNTIF(J5:J46,"Hoog")</f>
        <v>0</v>
      </c>
      <c r="K2" s="11" t="s">
        <v>69</v>
      </c>
      <c r="L2" s="16">
        <f>COUNTIF(J5:J46,"Middel")</f>
        <v>0</v>
      </c>
      <c r="M2" s="11" t="s">
        <v>70</v>
      </c>
      <c r="N2" s="12" t="s">
        <v>35</v>
      </c>
      <c r="O2" s="12"/>
      <c r="P2" s="12"/>
    </row>
    <row r="3" spans="1:16" ht="18" customHeight="1">
      <c r="A3" s="17" t="s">
        <v>71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40" customHeight="1">
      <c r="A4" s="18" t="s">
        <v>72</v>
      </c>
      <c r="B4" s="18" t="s">
        <v>73</v>
      </c>
      <c r="C4" s="18" t="s">
        <v>74</v>
      </c>
      <c r="D4" s="18" t="s">
        <v>75</v>
      </c>
      <c r="E4" s="19" t="s">
        <v>76</v>
      </c>
      <c r="F4" s="19" t="s">
        <v>77</v>
      </c>
      <c r="G4" s="20" t="s">
        <v>78</v>
      </c>
      <c r="H4" s="20" t="s">
        <v>79</v>
      </c>
      <c r="I4" s="18" t="s">
        <v>80</v>
      </c>
      <c r="J4" s="18" t="s">
        <v>81</v>
      </c>
      <c r="K4" s="18" t="s">
        <v>82</v>
      </c>
      <c r="L4" s="18" t="s">
        <v>83</v>
      </c>
      <c r="M4" s="18" t="s">
        <v>84</v>
      </c>
      <c r="N4" s="18" t="s">
        <v>85</v>
      </c>
      <c r="O4" s="20" t="s">
        <v>86</v>
      </c>
      <c r="P4" s="20" t="s">
        <v>87</v>
      </c>
    </row>
    <row r="5" spans="1:16" ht="38" customHeight="1">
      <c r="A5" s="21" t="s">
        <v>88</v>
      </c>
      <c r="B5" s="22" t="s">
        <v>89</v>
      </c>
      <c r="C5" s="23" t="s">
        <v>90</v>
      </c>
      <c r="D5" s="23" t="s">
        <v>91</v>
      </c>
      <c r="E5" s="24">
        <v>5</v>
      </c>
      <c r="F5" s="24">
        <v>4</v>
      </c>
      <c r="G5" s="25">
        <v>5</v>
      </c>
      <c r="H5" s="25">
        <v>4</v>
      </c>
      <c r="I5" s="26">
        <f>IF(AND(ISNUMBER(G5),ISNUMBER(H5)),G5*H5,"—")</f>
        <v>0</v>
      </c>
      <c r="J5" s="26">
        <f>IF(I5="—","—",IF(I5&gt;=15,"Kritiek",IF(I5&gt;=8,"Hoog",IF(I5&gt;=4,"Middel","Laag"))))</f>
        <v>0</v>
      </c>
      <c r="K5" s="23" t="s">
        <v>92</v>
      </c>
      <c r="L5" s="23" t="s">
        <v>93</v>
      </c>
      <c r="M5" s="27" t="s">
        <v>94</v>
      </c>
      <c r="N5" s="28"/>
      <c r="O5" s="29" t="s">
        <v>95</v>
      </c>
      <c r="P5" s="29" t="s">
        <v>96</v>
      </c>
    </row>
    <row r="6" spans="1:16" ht="38" customHeight="1">
      <c r="A6" s="30" t="s">
        <v>97</v>
      </c>
      <c r="B6" s="31" t="s">
        <v>89</v>
      </c>
      <c r="C6" s="4" t="s">
        <v>98</v>
      </c>
      <c r="D6" s="4" t="s">
        <v>99</v>
      </c>
      <c r="E6" s="24">
        <v>3</v>
      </c>
      <c r="F6" s="24">
        <v>4</v>
      </c>
      <c r="G6" s="25">
        <v>3</v>
      </c>
      <c r="H6" s="25">
        <v>4</v>
      </c>
      <c r="I6" s="26">
        <f>IF(AND(ISNUMBER(G6),ISNUMBER(H6)),G6*H6,"—")</f>
        <v>0</v>
      </c>
      <c r="J6" s="26">
        <f>IF(I6="—","—",IF(I6&gt;=15,"Kritiek",IF(I6&gt;=8,"Hoog",IF(I6&gt;=4,"Middel","Laag"))))</f>
        <v>0</v>
      </c>
      <c r="K6" s="4" t="s">
        <v>100</v>
      </c>
      <c r="L6" s="4" t="s">
        <v>101</v>
      </c>
      <c r="M6" s="32" t="s">
        <v>94</v>
      </c>
      <c r="N6" s="33"/>
      <c r="O6" s="34" t="s">
        <v>95</v>
      </c>
      <c r="P6" s="34" t="s">
        <v>102</v>
      </c>
    </row>
    <row r="7" spans="1:16" ht="38" customHeight="1">
      <c r="A7" s="21" t="s">
        <v>103</v>
      </c>
      <c r="B7" s="22" t="s">
        <v>89</v>
      </c>
      <c r="C7" s="23" t="s">
        <v>104</v>
      </c>
      <c r="D7" s="23" t="s">
        <v>105</v>
      </c>
      <c r="E7" s="24">
        <v>2</v>
      </c>
      <c r="F7" s="24">
        <v>5</v>
      </c>
      <c r="G7" s="25">
        <v>2</v>
      </c>
      <c r="H7" s="25">
        <v>5</v>
      </c>
      <c r="I7" s="26">
        <f>IF(AND(ISNUMBER(G7),ISNUMBER(H7)),G7*H7,"—")</f>
        <v>0</v>
      </c>
      <c r="J7" s="26">
        <f>IF(I7="—","—",IF(I7&gt;=15,"Kritiek",IF(I7&gt;=8,"Hoog",IF(I7&gt;=4,"Middel","Laag"))))</f>
        <v>0</v>
      </c>
      <c r="K7" s="23" t="s">
        <v>106</v>
      </c>
      <c r="L7" s="23" t="s">
        <v>107</v>
      </c>
      <c r="M7" s="27" t="s">
        <v>94</v>
      </c>
      <c r="N7" s="28"/>
      <c r="O7" s="29" t="s">
        <v>108</v>
      </c>
      <c r="P7" s="29" t="s">
        <v>109</v>
      </c>
    </row>
    <row r="8" spans="1:16" ht="38" customHeight="1">
      <c r="A8" s="30" t="s">
        <v>110</v>
      </c>
      <c r="B8" s="31" t="s">
        <v>89</v>
      </c>
      <c r="C8" s="4" t="s">
        <v>111</v>
      </c>
      <c r="D8" s="4" t="s">
        <v>112</v>
      </c>
      <c r="E8" s="24">
        <v>3</v>
      </c>
      <c r="F8" s="24">
        <v>4</v>
      </c>
      <c r="G8" s="25">
        <v>3</v>
      </c>
      <c r="H8" s="25">
        <v>4</v>
      </c>
      <c r="I8" s="26">
        <f>IF(AND(ISNUMBER(G8),ISNUMBER(H8)),G8*H8,"—")</f>
        <v>0</v>
      </c>
      <c r="J8" s="26">
        <f>IF(I8="—","—",IF(I8&gt;=15,"Kritiek",IF(I8&gt;=8,"Hoog",IF(I8&gt;=4,"Middel","Laag"))))</f>
        <v>0</v>
      </c>
      <c r="K8" s="4" t="s">
        <v>113</v>
      </c>
      <c r="L8" s="4" t="s">
        <v>114</v>
      </c>
      <c r="M8" s="32" t="s">
        <v>94</v>
      </c>
      <c r="N8" s="33"/>
      <c r="O8" s="34" t="s">
        <v>115</v>
      </c>
      <c r="P8" s="34" t="s">
        <v>116</v>
      </c>
    </row>
    <row r="9" spans="1:16" ht="38" customHeight="1">
      <c r="A9" s="21" t="s">
        <v>117</v>
      </c>
      <c r="B9" s="22" t="s">
        <v>89</v>
      </c>
      <c r="C9" s="23" t="s">
        <v>118</v>
      </c>
      <c r="D9" s="23" t="s">
        <v>119</v>
      </c>
      <c r="E9" s="24">
        <v>4</v>
      </c>
      <c r="F9" s="24">
        <v>2</v>
      </c>
      <c r="G9" s="25">
        <v>4</v>
      </c>
      <c r="H9" s="25">
        <v>2</v>
      </c>
      <c r="I9" s="26">
        <f>IF(AND(ISNUMBER(G9),ISNUMBER(H9)),G9*H9,"—")</f>
        <v>0</v>
      </c>
      <c r="J9" s="26">
        <f>IF(I9="—","—",IF(I9&gt;=15,"Kritiek",IF(I9&gt;=8,"Hoog",IF(I9&gt;=4,"Middel","Laag"))))</f>
        <v>0</v>
      </c>
      <c r="K9" s="23" t="s">
        <v>120</v>
      </c>
      <c r="L9" s="23" t="s">
        <v>121</v>
      </c>
      <c r="M9" s="27" t="s">
        <v>94</v>
      </c>
      <c r="N9" s="28"/>
      <c r="O9" s="29" t="s">
        <v>122</v>
      </c>
      <c r="P9" s="29" t="s">
        <v>123</v>
      </c>
    </row>
    <row r="10" spans="1:16" ht="38" customHeight="1">
      <c r="A10" s="30" t="s">
        <v>124</v>
      </c>
      <c r="B10" s="31" t="s">
        <v>125</v>
      </c>
      <c r="C10" s="4" t="s">
        <v>126</v>
      </c>
      <c r="D10" s="4" t="s">
        <v>127</v>
      </c>
      <c r="E10" s="24">
        <v>5</v>
      </c>
      <c r="F10" s="24">
        <v>3</v>
      </c>
      <c r="G10" s="25">
        <v>5</v>
      </c>
      <c r="H10" s="25">
        <v>3</v>
      </c>
      <c r="I10" s="26">
        <f>IF(AND(ISNUMBER(G10),ISNUMBER(H10)),G10*H10,"—")</f>
        <v>0</v>
      </c>
      <c r="J10" s="26">
        <f>IF(I10="—","—",IF(I10&gt;=15,"Kritiek",IF(I10&gt;=8,"Hoog",IF(I10&gt;=4,"Middel","Laag"))))</f>
        <v>0</v>
      </c>
      <c r="K10" s="4" t="s">
        <v>128</v>
      </c>
      <c r="L10" s="4" t="s">
        <v>129</v>
      </c>
      <c r="M10" s="32" t="s">
        <v>94</v>
      </c>
      <c r="N10" s="33"/>
      <c r="O10" s="34" t="s">
        <v>130</v>
      </c>
      <c r="P10" s="34" t="s">
        <v>131</v>
      </c>
    </row>
    <row r="11" spans="1:16" ht="38" customHeight="1">
      <c r="A11" s="21" t="s">
        <v>132</v>
      </c>
      <c r="B11" s="22" t="s">
        <v>125</v>
      </c>
      <c r="C11" s="23" t="s">
        <v>133</v>
      </c>
      <c r="D11" s="23" t="s">
        <v>134</v>
      </c>
      <c r="E11" s="24">
        <v>5</v>
      </c>
      <c r="F11" s="24">
        <v>3</v>
      </c>
      <c r="G11" s="25">
        <v>5</v>
      </c>
      <c r="H11" s="25">
        <v>3</v>
      </c>
      <c r="I11" s="26">
        <f>IF(AND(ISNUMBER(G11),ISNUMBER(H11)),G11*H11,"—")</f>
        <v>0</v>
      </c>
      <c r="J11" s="26">
        <f>IF(I11="—","—",IF(I11&gt;=15,"Kritiek",IF(I11&gt;=8,"Hoog",IF(I11&gt;=4,"Middel","Laag"))))</f>
        <v>0</v>
      </c>
      <c r="K11" s="23" t="s">
        <v>135</v>
      </c>
      <c r="L11" s="23" t="s">
        <v>136</v>
      </c>
      <c r="M11" s="27" t="s">
        <v>94</v>
      </c>
      <c r="N11" s="28"/>
      <c r="O11" s="29" t="s">
        <v>137</v>
      </c>
      <c r="P11" s="29" t="s">
        <v>138</v>
      </c>
    </row>
    <row r="12" spans="1:16" ht="38" customHeight="1">
      <c r="A12" s="30" t="s">
        <v>139</v>
      </c>
      <c r="B12" s="31" t="s">
        <v>125</v>
      </c>
      <c r="C12" s="4" t="s">
        <v>140</v>
      </c>
      <c r="D12" s="4" t="s">
        <v>141</v>
      </c>
      <c r="E12" s="24">
        <v>4</v>
      </c>
      <c r="F12" s="24">
        <v>3</v>
      </c>
      <c r="G12" s="25">
        <v>4</v>
      </c>
      <c r="H12" s="25">
        <v>3</v>
      </c>
      <c r="I12" s="26">
        <f>IF(AND(ISNUMBER(G12),ISNUMBER(H12)),G12*H12,"—")</f>
        <v>0</v>
      </c>
      <c r="J12" s="26">
        <f>IF(I12="—","—",IF(I12&gt;=15,"Kritiek",IF(I12&gt;=8,"Hoog",IF(I12&gt;=4,"Middel","Laag"))))</f>
        <v>0</v>
      </c>
      <c r="K12" s="4" t="s">
        <v>142</v>
      </c>
      <c r="L12" s="4" t="s">
        <v>143</v>
      </c>
      <c r="M12" s="32" t="s">
        <v>94</v>
      </c>
      <c r="N12" s="33"/>
      <c r="O12" s="34" t="s">
        <v>144</v>
      </c>
      <c r="P12" s="34" t="s">
        <v>145</v>
      </c>
    </row>
    <row r="13" spans="1:16" ht="38" customHeight="1">
      <c r="A13" s="21" t="s">
        <v>146</v>
      </c>
      <c r="B13" s="22" t="s">
        <v>125</v>
      </c>
      <c r="C13" s="23" t="s">
        <v>147</v>
      </c>
      <c r="D13" s="23" t="s">
        <v>148</v>
      </c>
      <c r="E13" s="24">
        <v>4</v>
      </c>
      <c r="F13" s="24">
        <v>3</v>
      </c>
      <c r="G13" s="25">
        <v>4</v>
      </c>
      <c r="H13" s="25">
        <v>3</v>
      </c>
      <c r="I13" s="26">
        <f>IF(AND(ISNUMBER(G13),ISNUMBER(H13)),G13*H13,"—")</f>
        <v>0</v>
      </c>
      <c r="J13" s="26">
        <f>IF(I13="—","—",IF(I13&gt;=15,"Kritiek",IF(I13&gt;=8,"Hoog",IF(I13&gt;=4,"Middel","Laag"))))</f>
        <v>0</v>
      </c>
      <c r="K13" s="23" t="s">
        <v>149</v>
      </c>
      <c r="L13" s="23" t="s">
        <v>150</v>
      </c>
      <c r="M13" s="27" t="s">
        <v>94</v>
      </c>
      <c r="N13" s="28"/>
      <c r="O13" s="29" t="s">
        <v>137</v>
      </c>
      <c r="P13" s="29" t="s">
        <v>151</v>
      </c>
    </row>
    <row r="14" spans="1:16" ht="38" customHeight="1">
      <c r="A14" s="30" t="s">
        <v>152</v>
      </c>
      <c r="B14" s="31" t="s">
        <v>153</v>
      </c>
      <c r="C14" s="4" t="s">
        <v>154</v>
      </c>
      <c r="D14" s="4" t="s">
        <v>155</v>
      </c>
      <c r="E14" s="24">
        <v>3</v>
      </c>
      <c r="F14" s="24">
        <v>4</v>
      </c>
      <c r="G14" s="25">
        <v>3</v>
      </c>
      <c r="H14" s="25">
        <v>4</v>
      </c>
      <c r="I14" s="26">
        <f>IF(AND(ISNUMBER(G14),ISNUMBER(H14)),G14*H14,"—")</f>
        <v>0</v>
      </c>
      <c r="J14" s="26">
        <f>IF(I14="—","—",IF(I14&gt;=15,"Kritiek",IF(I14&gt;=8,"Hoog",IF(I14&gt;=4,"Middel","Laag"))))</f>
        <v>0</v>
      </c>
      <c r="K14" s="4" t="s">
        <v>156</v>
      </c>
      <c r="L14" s="4" t="s">
        <v>157</v>
      </c>
      <c r="M14" s="32" t="s">
        <v>94</v>
      </c>
      <c r="N14" s="33"/>
      <c r="O14" s="34" t="s">
        <v>158</v>
      </c>
      <c r="P14" s="34" t="s">
        <v>159</v>
      </c>
    </row>
    <row r="15" spans="1:16" ht="38" customHeight="1">
      <c r="A15" s="21" t="s">
        <v>160</v>
      </c>
      <c r="B15" s="22" t="s">
        <v>153</v>
      </c>
      <c r="C15" s="23" t="s">
        <v>161</v>
      </c>
      <c r="D15" s="23" t="s">
        <v>162</v>
      </c>
      <c r="E15" s="24">
        <v>3</v>
      </c>
      <c r="F15" s="24">
        <v>3</v>
      </c>
      <c r="G15" s="25">
        <v>3</v>
      </c>
      <c r="H15" s="25">
        <v>3</v>
      </c>
      <c r="I15" s="26">
        <f>IF(AND(ISNUMBER(G15),ISNUMBER(H15)),G15*H15,"—")</f>
        <v>0</v>
      </c>
      <c r="J15" s="26">
        <f>IF(I15="—","—",IF(I15&gt;=15,"Kritiek",IF(I15&gt;=8,"Hoog",IF(I15&gt;=4,"Middel","Laag"))))</f>
        <v>0</v>
      </c>
      <c r="K15" s="23" t="s">
        <v>163</v>
      </c>
      <c r="L15" s="23" t="s">
        <v>164</v>
      </c>
      <c r="M15" s="27" t="s">
        <v>94</v>
      </c>
      <c r="N15" s="28"/>
      <c r="O15" s="29" t="s">
        <v>165</v>
      </c>
      <c r="P15" s="29" t="s">
        <v>166</v>
      </c>
    </row>
    <row r="16" spans="1:16" ht="38" customHeight="1">
      <c r="A16" s="30" t="s">
        <v>167</v>
      </c>
      <c r="B16" s="31" t="s">
        <v>153</v>
      </c>
      <c r="C16" s="4" t="s">
        <v>168</v>
      </c>
      <c r="D16" s="4" t="s">
        <v>169</v>
      </c>
      <c r="E16" s="24">
        <v>4</v>
      </c>
      <c r="F16" s="24">
        <v>3</v>
      </c>
      <c r="G16" s="25">
        <v>4</v>
      </c>
      <c r="H16" s="25">
        <v>3</v>
      </c>
      <c r="I16" s="26">
        <f>IF(AND(ISNUMBER(G16),ISNUMBER(H16)),G16*H16,"—")</f>
        <v>0</v>
      </c>
      <c r="J16" s="26">
        <f>IF(I16="—","—",IF(I16&gt;=15,"Kritiek",IF(I16&gt;=8,"Hoog",IF(I16&gt;=4,"Middel","Laag"))))</f>
        <v>0</v>
      </c>
      <c r="K16" s="4" t="s">
        <v>170</v>
      </c>
      <c r="L16" s="4" t="s">
        <v>171</v>
      </c>
      <c r="M16" s="32" t="s">
        <v>94</v>
      </c>
      <c r="N16" s="33"/>
      <c r="O16" s="34" t="s">
        <v>158</v>
      </c>
      <c r="P16" s="34" t="s">
        <v>172</v>
      </c>
    </row>
    <row r="17" spans="1:16" ht="38" customHeight="1">
      <c r="A17" s="21" t="s">
        <v>173</v>
      </c>
      <c r="B17" s="22" t="s">
        <v>153</v>
      </c>
      <c r="C17" s="23" t="s">
        <v>174</v>
      </c>
      <c r="D17" s="23" t="s">
        <v>175</v>
      </c>
      <c r="E17" s="24">
        <v>3</v>
      </c>
      <c r="F17" s="24">
        <v>4</v>
      </c>
      <c r="G17" s="25">
        <v>3</v>
      </c>
      <c r="H17" s="25">
        <v>4</v>
      </c>
      <c r="I17" s="26">
        <f>IF(AND(ISNUMBER(G17),ISNUMBER(H17)),G17*H17,"—")</f>
        <v>0</v>
      </c>
      <c r="J17" s="26">
        <f>IF(I17="—","—",IF(I17&gt;=15,"Kritiek",IF(I17&gt;=8,"Hoog",IF(I17&gt;=4,"Middel","Laag"))))</f>
        <v>0</v>
      </c>
      <c r="K17" s="23" t="s">
        <v>176</v>
      </c>
      <c r="L17" s="23" t="s">
        <v>177</v>
      </c>
      <c r="M17" s="27" t="s">
        <v>94</v>
      </c>
      <c r="N17" s="28"/>
      <c r="O17" s="29" t="s">
        <v>165</v>
      </c>
      <c r="P17" s="29" t="s">
        <v>178</v>
      </c>
    </row>
    <row r="18" spans="1:16" ht="38" customHeight="1">
      <c r="A18" s="30" t="s">
        <v>179</v>
      </c>
      <c r="B18" s="31" t="s">
        <v>180</v>
      </c>
      <c r="C18" s="4" t="s">
        <v>181</v>
      </c>
      <c r="D18" s="4" t="s">
        <v>182</v>
      </c>
      <c r="E18" s="24">
        <v>5</v>
      </c>
      <c r="F18" s="24">
        <v>3</v>
      </c>
      <c r="G18" s="25">
        <v>5</v>
      </c>
      <c r="H18" s="25">
        <v>3</v>
      </c>
      <c r="I18" s="26">
        <f>IF(AND(ISNUMBER(G18),ISNUMBER(H18)),G18*H18,"—")</f>
        <v>0</v>
      </c>
      <c r="J18" s="26">
        <f>IF(I18="—","—",IF(I18&gt;=15,"Kritiek",IF(I18&gt;=8,"Hoog",IF(I18&gt;=4,"Middel","Laag"))))</f>
        <v>0</v>
      </c>
      <c r="K18" s="4" t="s">
        <v>183</v>
      </c>
      <c r="L18" s="4" t="s">
        <v>184</v>
      </c>
      <c r="M18" s="32" t="s">
        <v>94</v>
      </c>
      <c r="N18" s="33"/>
      <c r="O18" s="34" t="s">
        <v>185</v>
      </c>
      <c r="P18" s="34" t="s">
        <v>186</v>
      </c>
    </row>
    <row r="19" spans="1:16" ht="38" customHeight="1">
      <c r="A19" s="21" t="s">
        <v>187</v>
      </c>
      <c r="B19" s="22" t="s">
        <v>180</v>
      </c>
      <c r="C19" s="23" t="s">
        <v>188</v>
      </c>
      <c r="D19" s="23" t="s">
        <v>189</v>
      </c>
      <c r="E19" s="24">
        <v>4</v>
      </c>
      <c r="F19" s="24">
        <v>3</v>
      </c>
      <c r="G19" s="25">
        <v>4</v>
      </c>
      <c r="H19" s="25">
        <v>3</v>
      </c>
      <c r="I19" s="26">
        <f>IF(AND(ISNUMBER(G19),ISNUMBER(H19)),G19*H19,"—")</f>
        <v>0</v>
      </c>
      <c r="J19" s="26">
        <f>IF(I19="—","—",IF(I19&gt;=15,"Kritiek",IF(I19&gt;=8,"Hoog",IF(I19&gt;=4,"Middel","Laag"))))</f>
        <v>0</v>
      </c>
      <c r="K19" s="23" t="s">
        <v>190</v>
      </c>
      <c r="L19" s="23" t="s">
        <v>191</v>
      </c>
      <c r="M19" s="27" t="s">
        <v>94</v>
      </c>
      <c r="N19" s="28"/>
      <c r="O19" s="29" t="s">
        <v>192</v>
      </c>
      <c r="P19" s="29" t="s">
        <v>193</v>
      </c>
    </row>
    <row r="20" spans="1:16" ht="38" customHeight="1">
      <c r="A20" s="30" t="s">
        <v>194</v>
      </c>
      <c r="B20" s="31" t="s">
        <v>180</v>
      </c>
      <c r="C20" s="4" t="s">
        <v>195</v>
      </c>
      <c r="D20" s="4" t="s">
        <v>196</v>
      </c>
      <c r="E20" s="24">
        <v>3</v>
      </c>
      <c r="F20" s="24">
        <v>4</v>
      </c>
      <c r="G20" s="25">
        <v>3</v>
      </c>
      <c r="H20" s="25">
        <v>4</v>
      </c>
      <c r="I20" s="26">
        <f>IF(AND(ISNUMBER(G20),ISNUMBER(H20)),G20*H20,"—")</f>
        <v>0</v>
      </c>
      <c r="J20" s="26">
        <f>IF(I20="—","—",IF(I20&gt;=15,"Kritiek",IF(I20&gt;=8,"Hoog",IF(I20&gt;=4,"Middel","Laag"))))</f>
        <v>0</v>
      </c>
      <c r="K20" s="4" t="s">
        <v>197</v>
      </c>
      <c r="L20" s="4" t="s">
        <v>198</v>
      </c>
      <c r="M20" s="32" t="s">
        <v>94</v>
      </c>
      <c r="N20" s="33"/>
      <c r="O20" s="34" t="s">
        <v>199</v>
      </c>
      <c r="P20" s="34" t="s">
        <v>200</v>
      </c>
    </row>
    <row r="21" spans="1:16" ht="38" customHeight="1">
      <c r="A21" s="21" t="s">
        <v>201</v>
      </c>
      <c r="B21" s="22" t="s">
        <v>180</v>
      </c>
      <c r="C21" s="23" t="s">
        <v>202</v>
      </c>
      <c r="D21" s="23" t="s">
        <v>203</v>
      </c>
      <c r="E21" s="24">
        <v>4</v>
      </c>
      <c r="F21" s="24">
        <v>3</v>
      </c>
      <c r="G21" s="25">
        <v>4</v>
      </c>
      <c r="H21" s="25">
        <v>3</v>
      </c>
      <c r="I21" s="26">
        <f>IF(AND(ISNUMBER(G21),ISNUMBER(H21)),G21*H21,"—")</f>
        <v>0</v>
      </c>
      <c r="J21" s="26">
        <f>IF(I21="—","—",IF(I21&gt;=15,"Kritiek",IF(I21&gt;=8,"Hoog",IF(I21&gt;=4,"Middel","Laag"))))</f>
        <v>0</v>
      </c>
      <c r="K21" s="23" t="s">
        <v>204</v>
      </c>
      <c r="L21" s="23" t="s">
        <v>205</v>
      </c>
      <c r="M21" s="27" t="s">
        <v>94</v>
      </c>
      <c r="N21" s="28"/>
      <c r="O21" s="29" t="s">
        <v>206</v>
      </c>
      <c r="P21" s="29" t="s">
        <v>207</v>
      </c>
    </row>
    <row r="22" spans="1:16" ht="38" customHeight="1">
      <c r="A22" s="30" t="s">
        <v>208</v>
      </c>
      <c r="B22" s="31" t="s">
        <v>180</v>
      </c>
      <c r="C22" s="4" t="s">
        <v>209</v>
      </c>
      <c r="D22" s="4" t="s">
        <v>210</v>
      </c>
      <c r="E22" s="24">
        <v>3</v>
      </c>
      <c r="F22" s="24">
        <v>4</v>
      </c>
      <c r="G22" s="25">
        <v>3</v>
      </c>
      <c r="H22" s="25">
        <v>4</v>
      </c>
      <c r="I22" s="26">
        <f>IF(AND(ISNUMBER(G22),ISNUMBER(H22)),G22*H22,"—")</f>
        <v>0</v>
      </c>
      <c r="J22" s="26">
        <f>IF(I22="—","—",IF(I22&gt;=15,"Kritiek",IF(I22&gt;=8,"Hoog",IF(I22&gt;=4,"Middel","Laag"))))</f>
        <v>0</v>
      </c>
      <c r="K22" s="4" t="s">
        <v>211</v>
      </c>
      <c r="L22" s="4" t="s">
        <v>212</v>
      </c>
      <c r="M22" s="32" t="s">
        <v>94</v>
      </c>
      <c r="N22" s="33"/>
      <c r="O22" s="34" t="s">
        <v>206</v>
      </c>
      <c r="P22" s="34" t="s">
        <v>213</v>
      </c>
    </row>
    <row r="23" spans="1:16" ht="38" customHeight="1">
      <c r="A23" s="21" t="s">
        <v>214</v>
      </c>
      <c r="B23" s="22" t="s">
        <v>215</v>
      </c>
      <c r="C23" s="23" t="s">
        <v>216</v>
      </c>
      <c r="D23" s="23" t="s">
        <v>217</v>
      </c>
      <c r="E23" s="24">
        <v>3</v>
      </c>
      <c r="F23" s="24">
        <v>3</v>
      </c>
      <c r="G23" s="25">
        <v>3</v>
      </c>
      <c r="H23" s="25">
        <v>3</v>
      </c>
      <c r="I23" s="26">
        <f>IF(AND(ISNUMBER(G23),ISNUMBER(H23)),G23*H23,"—")</f>
        <v>0</v>
      </c>
      <c r="J23" s="26">
        <f>IF(I23="—","—",IF(I23&gt;=15,"Kritiek",IF(I23&gt;=8,"Hoog",IF(I23&gt;=4,"Middel","Laag"))))</f>
        <v>0</v>
      </c>
      <c r="K23" s="23" t="s">
        <v>218</v>
      </c>
      <c r="L23" s="23" t="s">
        <v>219</v>
      </c>
      <c r="M23" s="27" t="s">
        <v>94</v>
      </c>
      <c r="N23" s="28"/>
      <c r="O23" s="29" t="s">
        <v>122</v>
      </c>
      <c r="P23" s="29" t="s">
        <v>220</v>
      </c>
    </row>
    <row r="24" spans="1:16" ht="38" customHeight="1">
      <c r="A24" s="30" t="s">
        <v>221</v>
      </c>
      <c r="B24" s="31" t="s">
        <v>215</v>
      </c>
      <c r="C24" s="4" t="s">
        <v>222</v>
      </c>
      <c r="D24" s="4" t="s">
        <v>223</v>
      </c>
      <c r="E24" s="24">
        <v>4</v>
      </c>
      <c r="F24" s="24">
        <v>3</v>
      </c>
      <c r="G24" s="25">
        <v>4</v>
      </c>
      <c r="H24" s="25">
        <v>3</v>
      </c>
      <c r="I24" s="26">
        <f>IF(AND(ISNUMBER(G24),ISNUMBER(H24)),G24*H24,"—")</f>
        <v>0</v>
      </c>
      <c r="J24" s="26">
        <f>IF(I24="—","—",IF(I24&gt;=15,"Kritiek",IF(I24&gt;=8,"Hoog",IF(I24&gt;=4,"Middel","Laag"))))</f>
        <v>0</v>
      </c>
      <c r="K24" s="4" t="s">
        <v>224</v>
      </c>
      <c r="L24" s="4" t="s">
        <v>225</v>
      </c>
      <c r="M24" s="32" t="s">
        <v>94</v>
      </c>
      <c r="N24" s="33"/>
      <c r="O24" s="34" t="s">
        <v>122</v>
      </c>
      <c r="P24" s="34" t="s">
        <v>226</v>
      </c>
    </row>
    <row r="25" spans="1:16" ht="38" customHeight="1">
      <c r="A25" s="21" t="s">
        <v>227</v>
      </c>
      <c r="B25" s="22" t="s">
        <v>215</v>
      </c>
      <c r="C25" s="23" t="s">
        <v>228</v>
      </c>
      <c r="D25" s="23" t="s">
        <v>229</v>
      </c>
      <c r="E25" s="24">
        <v>3</v>
      </c>
      <c r="F25" s="24">
        <v>3</v>
      </c>
      <c r="G25" s="25">
        <v>3</v>
      </c>
      <c r="H25" s="25">
        <v>3</v>
      </c>
      <c r="I25" s="26">
        <f>IF(AND(ISNUMBER(G25),ISNUMBER(H25)),G25*H25,"—")</f>
        <v>0</v>
      </c>
      <c r="J25" s="26">
        <f>IF(I25="—","—",IF(I25&gt;=15,"Kritiek",IF(I25&gt;=8,"Hoog",IF(I25&gt;=4,"Middel","Laag"))))</f>
        <v>0</v>
      </c>
      <c r="K25" s="23" t="s">
        <v>230</v>
      </c>
      <c r="L25" s="23" t="s">
        <v>231</v>
      </c>
      <c r="M25" s="27" t="s">
        <v>94</v>
      </c>
      <c r="N25" s="28"/>
      <c r="O25" s="29" t="s">
        <v>232</v>
      </c>
      <c r="P25" s="29" t="s">
        <v>233</v>
      </c>
    </row>
    <row r="26" spans="1:16" ht="38" customHeight="1">
      <c r="A26" s="30" t="s">
        <v>234</v>
      </c>
      <c r="B26" s="31" t="s">
        <v>215</v>
      </c>
      <c r="C26" s="4" t="s">
        <v>235</v>
      </c>
      <c r="D26" s="4" t="s">
        <v>236</v>
      </c>
      <c r="E26" s="24">
        <v>3</v>
      </c>
      <c r="F26" s="24">
        <v>3</v>
      </c>
      <c r="G26" s="25">
        <v>3</v>
      </c>
      <c r="H26" s="25">
        <v>3</v>
      </c>
      <c r="I26" s="26">
        <f>IF(AND(ISNUMBER(G26),ISNUMBER(H26)),G26*H26,"—")</f>
        <v>0</v>
      </c>
      <c r="J26" s="26">
        <f>IF(I26="—","—",IF(I26&gt;=15,"Kritiek",IF(I26&gt;=8,"Hoog",IF(I26&gt;=4,"Middel","Laag"))))</f>
        <v>0</v>
      </c>
      <c r="K26" s="4" t="s">
        <v>237</v>
      </c>
      <c r="L26" s="4" t="s">
        <v>238</v>
      </c>
      <c r="M26" s="32" t="s">
        <v>94</v>
      </c>
      <c r="N26" s="33"/>
      <c r="O26" s="34" t="s">
        <v>165</v>
      </c>
      <c r="P26" s="34" t="s">
        <v>178</v>
      </c>
    </row>
    <row r="27" spans="1:16" ht="38" customHeight="1">
      <c r="A27" s="21" t="s">
        <v>239</v>
      </c>
      <c r="B27" s="22" t="s">
        <v>240</v>
      </c>
      <c r="C27" s="23" t="s">
        <v>241</v>
      </c>
      <c r="D27" s="23" t="s">
        <v>242</v>
      </c>
      <c r="E27" s="24">
        <v>3</v>
      </c>
      <c r="F27" s="24">
        <v>3</v>
      </c>
      <c r="G27" s="25">
        <v>3</v>
      </c>
      <c r="H27" s="25">
        <v>3</v>
      </c>
      <c r="I27" s="26">
        <f>IF(AND(ISNUMBER(G27),ISNUMBER(H27)),G27*H27,"—")</f>
        <v>0</v>
      </c>
      <c r="J27" s="26">
        <f>IF(I27="—","—",IF(I27&gt;=15,"Kritiek",IF(I27&gt;=8,"Hoog",IF(I27&gt;=4,"Middel","Laag"))))</f>
        <v>0</v>
      </c>
      <c r="K27" s="23" t="s">
        <v>243</v>
      </c>
      <c r="L27" s="23" t="s">
        <v>244</v>
      </c>
      <c r="M27" s="27" t="s">
        <v>94</v>
      </c>
      <c r="N27" s="28"/>
      <c r="O27" s="29" t="s">
        <v>95</v>
      </c>
      <c r="P27" s="29" t="s">
        <v>245</v>
      </c>
    </row>
    <row r="28" spans="1:16" ht="38" customHeight="1">
      <c r="A28" s="30" t="s">
        <v>246</v>
      </c>
      <c r="B28" s="31" t="s">
        <v>240</v>
      </c>
      <c r="C28" s="4" t="s">
        <v>247</v>
      </c>
      <c r="D28" s="4" t="s">
        <v>248</v>
      </c>
      <c r="E28" s="24">
        <v>3</v>
      </c>
      <c r="F28" s="24">
        <v>3</v>
      </c>
      <c r="G28" s="25">
        <v>3</v>
      </c>
      <c r="H28" s="25">
        <v>3</v>
      </c>
      <c r="I28" s="26">
        <f>IF(AND(ISNUMBER(G28),ISNUMBER(H28)),G28*H28,"—")</f>
        <v>0</v>
      </c>
      <c r="J28" s="26">
        <f>IF(I28="—","—",IF(I28&gt;=15,"Kritiek",IF(I28&gt;=8,"Hoog",IF(I28&gt;=4,"Middel","Laag"))))</f>
        <v>0</v>
      </c>
      <c r="K28" s="4" t="s">
        <v>249</v>
      </c>
      <c r="L28" s="4" t="s">
        <v>250</v>
      </c>
      <c r="M28" s="32" t="s">
        <v>94</v>
      </c>
      <c r="N28" s="33"/>
      <c r="O28" s="34" t="s">
        <v>122</v>
      </c>
      <c r="P28" s="34" t="s">
        <v>251</v>
      </c>
    </row>
    <row r="29" spans="1:16" ht="38" customHeight="1">
      <c r="A29" s="21" t="s">
        <v>252</v>
      </c>
      <c r="B29" s="22" t="s">
        <v>240</v>
      </c>
      <c r="C29" s="23" t="s">
        <v>253</v>
      </c>
      <c r="D29" s="23" t="s">
        <v>254</v>
      </c>
      <c r="E29" s="24">
        <v>2</v>
      </c>
      <c r="F29" s="24">
        <v>3</v>
      </c>
      <c r="G29" s="25">
        <v>2</v>
      </c>
      <c r="H29" s="25">
        <v>3</v>
      </c>
      <c r="I29" s="26">
        <f>IF(AND(ISNUMBER(G29),ISNUMBER(H29)),G29*H29,"—")</f>
        <v>0</v>
      </c>
      <c r="J29" s="26">
        <f>IF(I29="—","—",IF(I29&gt;=15,"Kritiek",IF(I29&gt;=8,"Hoog",IF(I29&gt;=4,"Middel","Laag"))))</f>
        <v>0</v>
      </c>
      <c r="K29" s="23" t="s">
        <v>255</v>
      </c>
      <c r="L29" s="23" t="s">
        <v>256</v>
      </c>
      <c r="M29" s="27" t="s">
        <v>94</v>
      </c>
      <c r="N29" s="28"/>
      <c r="O29" s="29" t="s">
        <v>122</v>
      </c>
      <c r="P29" s="29" t="s">
        <v>257</v>
      </c>
    </row>
    <row r="30" spans="1:16" ht="38" customHeight="1">
      <c r="A30" s="30" t="s">
        <v>258</v>
      </c>
      <c r="B30" s="31" t="s">
        <v>259</v>
      </c>
      <c r="C30" s="4" t="s">
        <v>260</v>
      </c>
      <c r="D30" s="4" t="s">
        <v>261</v>
      </c>
      <c r="E30" s="24">
        <v>2</v>
      </c>
      <c r="F30" s="24">
        <v>4</v>
      </c>
      <c r="G30" s="25">
        <v>2</v>
      </c>
      <c r="H30" s="25">
        <v>4</v>
      </c>
      <c r="I30" s="26">
        <f>IF(AND(ISNUMBER(G30),ISNUMBER(H30)),G30*H30,"—")</f>
        <v>0</v>
      </c>
      <c r="J30" s="26">
        <f>IF(I30="—","—",IF(I30&gt;=15,"Kritiek",IF(I30&gt;=8,"Hoog",IF(I30&gt;=4,"Middel","Laag"))))</f>
        <v>0</v>
      </c>
      <c r="K30" s="4" t="s">
        <v>262</v>
      </c>
      <c r="L30" s="4" t="s">
        <v>263</v>
      </c>
      <c r="M30" s="32" t="s">
        <v>94</v>
      </c>
      <c r="N30" s="33"/>
      <c r="O30" s="34" t="s">
        <v>264</v>
      </c>
      <c r="P30" s="34" t="s">
        <v>265</v>
      </c>
    </row>
    <row r="31" spans="1:16" ht="38" customHeight="1">
      <c r="A31" s="21" t="s">
        <v>266</v>
      </c>
      <c r="B31" s="22" t="s">
        <v>259</v>
      </c>
      <c r="C31" s="23" t="s">
        <v>267</v>
      </c>
      <c r="D31" s="23" t="s">
        <v>268</v>
      </c>
      <c r="E31" s="24">
        <v>5</v>
      </c>
      <c r="F31" s="24">
        <v>3</v>
      </c>
      <c r="G31" s="25">
        <v>5</v>
      </c>
      <c r="H31" s="25">
        <v>3</v>
      </c>
      <c r="I31" s="26">
        <f>IF(AND(ISNUMBER(G31),ISNUMBER(H31)),G31*H31,"—")</f>
        <v>0</v>
      </c>
      <c r="J31" s="26">
        <f>IF(I31="—","—",IF(I31&gt;=15,"Kritiek",IF(I31&gt;=8,"Hoog",IF(I31&gt;=4,"Middel","Laag"))))</f>
        <v>0</v>
      </c>
      <c r="K31" s="23" t="s">
        <v>269</v>
      </c>
      <c r="L31" s="23" t="s">
        <v>270</v>
      </c>
      <c r="M31" s="27" t="s">
        <v>94</v>
      </c>
      <c r="N31" s="28"/>
      <c r="O31" s="29" t="s">
        <v>130</v>
      </c>
      <c r="P31" s="29" t="s">
        <v>271</v>
      </c>
    </row>
    <row r="32" spans="1:16" ht="38" customHeight="1">
      <c r="A32" s="30" t="s">
        <v>272</v>
      </c>
      <c r="B32" s="31" t="s">
        <v>259</v>
      </c>
      <c r="C32" s="4" t="s">
        <v>273</v>
      </c>
      <c r="D32" s="4" t="s">
        <v>274</v>
      </c>
      <c r="E32" s="24">
        <v>3</v>
      </c>
      <c r="F32" s="24">
        <v>3</v>
      </c>
      <c r="G32" s="25">
        <v>3</v>
      </c>
      <c r="H32" s="25">
        <v>3</v>
      </c>
      <c r="I32" s="26">
        <f>IF(AND(ISNUMBER(G32),ISNUMBER(H32)),G32*H32,"—")</f>
        <v>0</v>
      </c>
      <c r="J32" s="26">
        <f>IF(I32="—","—",IF(I32&gt;=15,"Kritiek",IF(I32&gt;=8,"Hoog",IF(I32&gt;=4,"Middel","Laag"))))</f>
        <v>0</v>
      </c>
      <c r="K32" s="4" t="s">
        <v>275</v>
      </c>
      <c r="L32" s="4" t="s">
        <v>276</v>
      </c>
      <c r="M32" s="32" t="s">
        <v>94</v>
      </c>
      <c r="N32" s="33"/>
      <c r="O32" s="34" t="s">
        <v>264</v>
      </c>
      <c r="P32" s="34" t="s">
        <v>277</v>
      </c>
    </row>
    <row r="33" spans="1:16" ht="38" customHeight="1">
      <c r="A33" s="21" t="s">
        <v>278</v>
      </c>
      <c r="B33" s="22" t="s">
        <v>279</v>
      </c>
      <c r="C33" s="23" t="s">
        <v>280</v>
      </c>
      <c r="D33" s="23" t="s">
        <v>281</v>
      </c>
      <c r="E33" s="24">
        <v>3</v>
      </c>
      <c r="F33" s="24">
        <v>4</v>
      </c>
      <c r="G33" s="25">
        <v>3</v>
      </c>
      <c r="H33" s="25">
        <v>4</v>
      </c>
      <c r="I33" s="26">
        <f>IF(AND(ISNUMBER(G33),ISNUMBER(H33)),G33*H33,"—")</f>
        <v>0</v>
      </c>
      <c r="J33" s="26">
        <f>IF(I33="—","—",IF(I33&gt;=15,"Kritiek",IF(I33&gt;=8,"Hoog",IF(I33&gt;=4,"Middel","Laag"))))</f>
        <v>0</v>
      </c>
      <c r="K33" s="23" t="s">
        <v>282</v>
      </c>
      <c r="L33" s="23" t="s">
        <v>283</v>
      </c>
      <c r="M33" s="27" t="s">
        <v>94</v>
      </c>
      <c r="N33" s="28"/>
      <c r="O33" s="29" t="s">
        <v>95</v>
      </c>
      <c r="P33" s="29" t="s">
        <v>102</v>
      </c>
    </row>
    <row r="34" spans="1:16" ht="38" customHeight="1">
      <c r="A34" s="30" t="s">
        <v>284</v>
      </c>
      <c r="B34" s="31" t="s">
        <v>279</v>
      </c>
      <c r="C34" s="4" t="s">
        <v>285</v>
      </c>
      <c r="D34" s="4" t="s">
        <v>286</v>
      </c>
      <c r="E34" s="24">
        <v>3</v>
      </c>
      <c r="F34" s="24">
        <v>3</v>
      </c>
      <c r="G34" s="25">
        <v>3</v>
      </c>
      <c r="H34" s="25">
        <v>3</v>
      </c>
      <c r="I34" s="26">
        <f>IF(AND(ISNUMBER(G34),ISNUMBER(H34)),G34*H34,"—")</f>
        <v>0</v>
      </c>
      <c r="J34" s="26">
        <f>IF(I34="—","—",IF(I34&gt;=15,"Kritiek",IF(I34&gt;=8,"Hoog",IF(I34&gt;=4,"Middel","Laag"))))</f>
        <v>0</v>
      </c>
      <c r="K34" s="4" t="s">
        <v>287</v>
      </c>
      <c r="L34" s="4" t="s">
        <v>288</v>
      </c>
      <c r="M34" s="32" t="s">
        <v>94</v>
      </c>
      <c r="N34" s="33"/>
      <c r="O34" s="34" t="s">
        <v>122</v>
      </c>
      <c r="P34" s="34" t="s">
        <v>289</v>
      </c>
    </row>
    <row r="35" spans="1:16" ht="38" customHeight="1">
      <c r="A35" s="21" t="s">
        <v>290</v>
      </c>
      <c r="B35" s="22" t="s">
        <v>279</v>
      </c>
      <c r="C35" s="23" t="s">
        <v>291</v>
      </c>
      <c r="D35" s="23" t="s">
        <v>292</v>
      </c>
      <c r="E35" s="24">
        <v>4</v>
      </c>
      <c r="F35" s="24">
        <v>3</v>
      </c>
      <c r="G35" s="25">
        <v>4</v>
      </c>
      <c r="H35" s="25">
        <v>3</v>
      </c>
      <c r="I35" s="26">
        <f>IF(AND(ISNUMBER(G35),ISNUMBER(H35)),G35*H35,"—")</f>
        <v>0</v>
      </c>
      <c r="J35" s="26">
        <f>IF(I35="—","—",IF(I35&gt;=15,"Kritiek",IF(I35&gt;=8,"Hoog",IF(I35&gt;=4,"Middel","Laag"))))</f>
        <v>0</v>
      </c>
      <c r="K35" s="23" t="s">
        <v>293</v>
      </c>
      <c r="L35" s="23" t="s">
        <v>294</v>
      </c>
      <c r="M35" s="27" t="s">
        <v>94</v>
      </c>
      <c r="N35" s="28"/>
      <c r="O35" s="29" t="s">
        <v>122</v>
      </c>
      <c r="P35" s="29" t="s">
        <v>295</v>
      </c>
    </row>
    <row r="36" spans="1:16" ht="38" customHeight="1">
      <c r="A36" s="30" t="s">
        <v>296</v>
      </c>
      <c r="B36" s="31" t="s">
        <v>279</v>
      </c>
      <c r="C36" s="4" t="s">
        <v>297</v>
      </c>
      <c r="D36" s="4" t="s">
        <v>298</v>
      </c>
      <c r="E36" s="24">
        <v>2</v>
      </c>
      <c r="F36" s="24">
        <v>4</v>
      </c>
      <c r="G36" s="25">
        <v>2</v>
      </c>
      <c r="H36" s="25">
        <v>4</v>
      </c>
      <c r="I36" s="26">
        <f>IF(AND(ISNUMBER(G36),ISNUMBER(H36)),G36*H36,"—")</f>
        <v>0</v>
      </c>
      <c r="J36" s="26">
        <f>IF(I36="—","—",IF(I36&gt;=15,"Kritiek",IF(I36&gt;=8,"Hoog",IF(I36&gt;=4,"Middel","Laag"))))</f>
        <v>0</v>
      </c>
      <c r="K36" s="4" t="s">
        <v>299</v>
      </c>
      <c r="L36" s="4" t="s">
        <v>300</v>
      </c>
      <c r="M36" s="32" t="s">
        <v>94</v>
      </c>
      <c r="N36" s="33"/>
      <c r="O36" s="34" t="s">
        <v>95</v>
      </c>
      <c r="P36" s="34" t="s">
        <v>301</v>
      </c>
    </row>
    <row r="37" spans="1:16" ht="38" customHeight="1">
      <c r="A37" s="21" t="s">
        <v>302</v>
      </c>
      <c r="B37" s="22" t="s">
        <v>303</v>
      </c>
      <c r="C37" s="23" t="s">
        <v>304</v>
      </c>
      <c r="D37" s="23" t="s">
        <v>305</v>
      </c>
      <c r="E37" s="24">
        <v>3</v>
      </c>
      <c r="F37" s="24">
        <v>3</v>
      </c>
      <c r="G37" s="25">
        <v>3</v>
      </c>
      <c r="H37" s="25">
        <v>3</v>
      </c>
      <c r="I37" s="26">
        <f>IF(AND(ISNUMBER(G37),ISNUMBER(H37)),G37*H37,"—")</f>
        <v>0</v>
      </c>
      <c r="J37" s="26">
        <f>IF(I37="—","—",IF(I37&gt;=15,"Kritiek",IF(I37&gt;=8,"Hoog",IF(I37&gt;=4,"Middel","Laag"))))</f>
        <v>0</v>
      </c>
      <c r="K37" s="23" t="s">
        <v>306</v>
      </c>
      <c r="L37" s="23" t="s">
        <v>307</v>
      </c>
      <c r="M37" s="27" t="s">
        <v>94</v>
      </c>
      <c r="N37" s="28"/>
      <c r="O37" s="29" t="s">
        <v>308</v>
      </c>
      <c r="P37" s="29" t="s">
        <v>309</v>
      </c>
    </row>
    <row r="38" spans="1:16" ht="38" customHeight="1">
      <c r="A38" s="30" t="s">
        <v>310</v>
      </c>
      <c r="B38" s="31" t="s">
        <v>303</v>
      </c>
      <c r="C38" s="4" t="s">
        <v>311</v>
      </c>
      <c r="D38" s="4" t="s">
        <v>312</v>
      </c>
      <c r="E38" s="24">
        <v>3</v>
      </c>
      <c r="F38" s="24">
        <v>4</v>
      </c>
      <c r="G38" s="25">
        <v>3</v>
      </c>
      <c r="H38" s="25">
        <v>4</v>
      </c>
      <c r="I38" s="26">
        <f>IF(AND(ISNUMBER(G38),ISNUMBER(H38)),G38*H38,"—")</f>
        <v>0</v>
      </c>
      <c r="J38" s="26">
        <f>IF(I38="—","—",IF(I38&gt;=15,"Kritiek",IF(I38&gt;=8,"Hoog",IF(I38&gt;=4,"Middel","Laag"))))</f>
        <v>0</v>
      </c>
      <c r="K38" s="4" t="s">
        <v>313</v>
      </c>
      <c r="L38" s="4" t="s">
        <v>314</v>
      </c>
      <c r="M38" s="32" t="s">
        <v>94</v>
      </c>
      <c r="N38" s="33"/>
      <c r="O38" s="34" t="s">
        <v>308</v>
      </c>
      <c r="P38" s="34" t="s">
        <v>315</v>
      </c>
    </row>
    <row r="39" spans="1:16" ht="38" customHeight="1">
      <c r="A39" s="21" t="s">
        <v>316</v>
      </c>
      <c r="B39" s="22" t="s">
        <v>303</v>
      </c>
      <c r="C39" s="23" t="s">
        <v>317</v>
      </c>
      <c r="D39" s="23" t="s">
        <v>318</v>
      </c>
      <c r="E39" s="24">
        <v>3</v>
      </c>
      <c r="F39" s="24">
        <v>3</v>
      </c>
      <c r="G39" s="25">
        <v>3</v>
      </c>
      <c r="H39" s="25">
        <v>3</v>
      </c>
      <c r="I39" s="26">
        <f>IF(AND(ISNUMBER(G39),ISNUMBER(H39)),G39*H39,"—")</f>
        <v>0</v>
      </c>
      <c r="J39" s="26">
        <f>IF(I39="—","—",IF(I39&gt;=15,"Kritiek",IF(I39&gt;=8,"Hoog",IF(I39&gt;=4,"Middel","Laag"))))</f>
        <v>0</v>
      </c>
      <c r="K39" s="23" t="s">
        <v>319</v>
      </c>
      <c r="L39" s="23" t="s">
        <v>320</v>
      </c>
      <c r="M39" s="27" t="s">
        <v>94</v>
      </c>
      <c r="N39" s="28"/>
      <c r="O39" s="29" t="s">
        <v>321</v>
      </c>
      <c r="P39" s="29" t="s">
        <v>322</v>
      </c>
    </row>
    <row r="40" spans="1:16" ht="38" customHeight="1">
      <c r="A40" s="30" t="s">
        <v>323</v>
      </c>
      <c r="B40" s="31" t="s">
        <v>303</v>
      </c>
      <c r="C40" s="4" t="s">
        <v>324</v>
      </c>
      <c r="D40" s="4" t="s">
        <v>325</v>
      </c>
      <c r="E40" s="24">
        <v>2</v>
      </c>
      <c r="F40" s="24">
        <v>3</v>
      </c>
      <c r="G40" s="25">
        <v>2</v>
      </c>
      <c r="H40" s="25">
        <v>3</v>
      </c>
      <c r="I40" s="26">
        <f>IF(AND(ISNUMBER(G40),ISNUMBER(H40)),G40*H40,"—")</f>
        <v>0</v>
      </c>
      <c r="J40" s="26">
        <f>IF(I40="—","—",IF(I40&gt;=15,"Kritiek",IF(I40&gt;=8,"Hoog",IF(I40&gt;=4,"Middel","Laag"))))</f>
        <v>0</v>
      </c>
      <c r="K40" s="4" t="s">
        <v>326</v>
      </c>
      <c r="L40" s="4" t="s">
        <v>327</v>
      </c>
      <c r="M40" s="32" t="s">
        <v>94</v>
      </c>
      <c r="N40" s="33"/>
      <c r="O40" s="34" t="s">
        <v>308</v>
      </c>
      <c r="P40" s="34" t="s">
        <v>328</v>
      </c>
    </row>
    <row r="41" spans="1:16" ht="38" customHeight="1">
      <c r="A41" s="21" t="s">
        <v>329</v>
      </c>
      <c r="B41" s="22" t="s">
        <v>330</v>
      </c>
      <c r="C41" s="23" t="s">
        <v>331</v>
      </c>
      <c r="D41" s="23" t="s">
        <v>332</v>
      </c>
      <c r="E41" s="24">
        <v>5</v>
      </c>
      <c r="F41" s="24">
        <v>3</v>
      </c>
      <c r="G41" s="25">
        <v>5</v>
      </c>
      <c r="H41" s="25">
        <v>3</v>
      </c>
      <c r="I41" s="26">
        <f>IF(AND(ISNUMBER(G41),ISNUMBER(H41)),G41*H41,"—")</f>
        <v>0</v>
      </c>
      <c r="J41" s="26">
        <f>IF(I41="—","—",IF(I41&gt;=15,"Kritiek",IF(I41&gt;=8,"Hoog",IF(I41&gt;=4,"Middel","Laag"))))</f>
        <v>0</v>
      </c>
      <c r="K41" s="23" t="s">
        <v>333</v>
      </c>
      <c r="L41" s="23" t="s">
        <v>334</v>
      </c>
      <c r="M41" s="27" t="s">
        <v>94</v>
      </c>
      <c r="N41" s="28"/>
      <c r="O41" s="29" t="s">
        <v>122</v>
      </c>
      <c r="P41" s="29" t="s">
        <v>335</v>
      </c>
    </row>
    <row r="42" spans="1:16" ht="38" customHeight="1">
      <c r="A42" s="30" t="s">
        <v>336</v>
      </c>
      <c r="B42" s="31" t="s">
        <v>330</v>
      </c>
      <c r="C42" s="4" t="s">
        <v>337</v>
      </c>
      <c r="D42" s="4" t="s">
        <v>338</v>
      </c>
      <c r="E42" s="24">
        <v>4</v>
      </c>
      <c r="F42" s="24">
        <v>3</v>
      </c>
      <c r="G42" s="25">
        <v>4</v>
      </c>
      <c r="H42" s="25">
        <v>3</v>
      </c>
      <c r="I42" s="26">
        <f>IF(AND(ISNUMBER(G42),ISNUMBER(H42)),G42*H42,"—")</f>
        <v>0</v>
      </c>
      <c r="J42" s="26">
        <f>IF(I42="—","—",IF(I42&gt;=15,"Kritiek",IF(I42&gt;=8,"Hoog",IF(I42&gt;=4,"Middel","Laag"))))</f>
        <v>0</v>
      </c>
      <c r="K42" s="4" t="s">
        <v>339</v>
      </c>
      <c r="L42" s="4" t="s">
        <v>340</v>
      </c>
      <c r="M42" s="32" t="s">
        <v>94</v>
      </c>
      <c r="N42" s="33"/>
      <c r="O42" s="34" t="s">
        <v>122</v>
      </c>
      <c r="P42" s="34" t="s">
        <v>341</v>
      </c>
    </row>
    <row r="43" spans="1:16" ht="38" customHeight="1">
      <c r="A43" s="21" t="s">
        <v>342</v>
      </c>
      <c r="B43" s="22" t="s">
        <v>330</v>
      </c>
      <c r="C43" s="23" t="s">
        <v>343</v>
      </c>
      <c r="D43" s="23" t="s">
        <v>344</v>
      </c>
      <c r="E43" s="24">
        <v>4</v>
      </c>
      <c r="F43" s="24">
        <v>3</v>
      </c>
      <c r="G43" s="25">
        <v>4</v>
      </c>
      <c r="H43" s="25">
        <v>3</v>
      </c>
      <c r="I43" s="26">
        <f>IF(AND(ISNUMBER(G43),ISNUMBER(H43)),G43*H43,"—")</f>
        <v>0</v>
      </c>
      <c r="J43" s="26">
        <f>IF(I43="—","—",IF(I43&gt;=15,"Kritiek",IF(I43&gt;=8,"Hoog",IF(I43&gt;=4,"Middel","Laag"))))</f>
        <v>0</v>
      </c>
      <c r="K43" s="23" t="s">
        <v>345</v>
      </c>
      <c r="L43" s="23" t="s">
        <v>346</v>
      </c>
      <c r="M43" s="27" t="s">
        <v>94</v>
      </c>
      <c r="N43" s="28"/>
      <c r="O43" s="29" t="s">
        <v>347</v>
      </c>
      <c r="P43" s="29" t="s">
        <v>348</v>
      </c>
    </row>
    <row r="44" spans="1:16" ht="38" customHeight="1">
      <c r="A44" s="30" t="s">
        <v>349</v>
      </c>
      <c r="B44" s="31" t="s">
        <v>330</v>
      </c>
      <c r="C44" s="4" t="s">
        <v>350</v>
      </c>
      <c r="D44" s="4" t="s">
        <v>351</v>
      </c>
      <c r="E44" s="24">
        <v>4</v>
      </c>
      <c r="F44" s="24">
        <v>3</v>
      </c>
      <c r="G44" s="25">
        <v>4</v>
      </c>
      <c r="H44" s="25">
        <v>3</v>
      </c>
      <c r="I44" s="26">
        <f>IF(AND(ISNUMBER(G44),ISNUMBER(H44)),G44*H44,"—")</f>
        <v>0</v>
      </c>
      <c r="J44" s="26">
        <f>IF(I44="—","—",IF(I44&gt;=15,"Kritiek",IF(I44&gt;=8,"Hoog",IF(I44&gt;=4,"Middel","Laag"))))</f>
        <v>0</v>
      </c>
      <c r="K44" s="4" t="s">
        <v>352</v>
      </c>
      <c r="L44" s="4" t="s">
        <v>353</v>
      </c>
      <c r="M44" s="32" t="s">
        <v>94</v>
      </c>
      <c r="N44" s="33"/>
      <c r="O44" s="34" t="s">
        <v>185</v>
      </c>
      <c r="P44" s="34" t="s">
        <v>354</v>
      </c>
    </row>
    <row r="45" spans="1:16" ht="38" customHeight="1">
      <c r="A45" s="21" t="s">
        <v>355</v>
      </c>
      <c r="B45" s="22" t="s">
        <v>330</v>
      </c>
      <c r="C45" s="23" t="s">
        <v>356</v>
      </c>
      <c r="D45" s="23" t="s">
        <v>357</v>
      </c>
      <c r="E45" s="24">
        <v>3</v>
      </c>
      <c r="F45" s="24">
        <v>4</v>
      </c>
      <c r="G45" s="25">
        <v>3</v>
      </c>
      <c r="H45" s="25">
        <v>4</v>
      </c>
      <c r="I45" s="26">
        <f>IF(AND(ISNUMBER(G45),ISNUMBER(H45)),G45*H45,"—")</f>
        <v>0</v>
      </c>
      <c r="J45" s="26">
        <f>IF(I45="—","—",IF(I45&gt;=15,"Kritiek",IF(I45&gt;=8,"Hoog",IF(I45&gt;=4,"Middel","Laag"))))</f>
        <v>0</v>
      </c>
      <c r="K45" s="23" t="s">
        <v>358</v>
      </c>
      <c r="L45" s="23" t="s">
        <v>359</v>
      </c>
      <c r="M45" s="27" t="s">
        <v>94</v>
      </c>
      <c r="N45" s="28"/>
      <c r="O45" s="29" t="s">
        <v>360</v>
      </c>
      <c r="P45" s="29" t="s">
        <v>361</v>
      </c>
    </row>
    <row r="46" spans="1:16" ht="38" customHeight="1">
      <c r="A46" s="30" t="s">
        <v>362</v>
      </c>
      <c r="B46" s="31" t="s">
        <v>330</v>
      </c>
      <c r="C46" s="4" t="s">
        <v>363</v>
      </c>
      <c r="D46" s="4" t="s">
        <v>364</v>
      </c>
      <c r="E46" s="24">
        <v>3</v>
      </c>
      <c r="F46" s="24">
        <v>4</v>
      </c>
      <c r="G46" s="25">
        <v>3</v>
      </c>
      <c r="H46" s="25">
        <v>4</v>
      </c>
      <c r="I46" s="26">
        <f>IF(AND(ISNUMBER(G46),ISNUMBER(H46)),G46*H46,"—")</f>
        <v>0</v>
      </c>
      <c r="J46" s="26">
        <f>IF(I46="—","—",IF(I46&gt;=15,"Kritiek",IF(I46&gt;=8,"Hoog",IF(I46&gt;=4,"Middel","Laag"))))</f>
        <v>0</v>
      </c>
      <c r="K46" s="4" t="s">
        <v>365</v>
      </c>
      <c r="L46" s="4" t="s">
        <v>366</v>
      </c>
      <c r="M46" s="32" t="s">
        <v>94</v>
      </c>
      <c r="N46" s="33"/>
      <c r="O46" s="34" t="s">
        <v>367</v>
      </c>
      <c r="P46" s="34" t="s">
        <v>368</v>
      </c>
    </row>
    <row r="48" spans="1:16">
      <c r="A48" s="8" t="s">
        <v>371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</sheetData>
  <sheetProtection sheet="1" objects="1" scenarios="1"/>
  <mergeCells count="6">
    <mergeCell ref="A1:J1"/>
    <mergeCell ref="K1:P1"/>
    <mergeCell ref="B2:D2"/>
    <mergeCell ref="N2:P2"/>
    <mergeCell ref="A3:P3"/>
    <mergeCell ref="A48:P48"/>
  </mergeCells>
  <conditionalFormatting sqref="I5:I46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J5:J46">
    <cfRule type="expression" dxfId="0" priority="5">
      <formula>AND(ISNUMBER(I5),I5&gt;=15)</formula>
    </cfRule>
    <cfRule type="expression" dxfId="1" priority="6">
      <formula>AND(ISNUMBER(I5),I5&gt;=8,I5&lt;15)</formula>
    </cfRule>
    <cfRule type="expression" dxfId="2" priority="7">
      <formula>AND(ISNUMBER(I5),I5&gt;=4,I5&lt;8)</formula>
    </cfRule>
    <cfRule type="expression" dxfId="3" priority="8">
      <formula>AND(ISNUMBER(I5),I5&gt;=1,I5&lt;4)</formula>
    </cfRule>
  </conditionalFormatting>
  <dataValidations count="3">
    <dataValidation type="list" allowBlank="1" showInputMessage="1" showErrorMessage="1" sqref="M5:M46">
      <formula1>"Ja,Nee,Deels"</formula1>
    </dataValidation>
    <dataValidation type="list" allowBlank="1" showInputMessage="1" showErrorMessage="1" sqref="G5:G46">
      <formula1>"1,2,3,4,5"</formula1>
    </dataValidation>
    <dataValidation type="list" allowBlank="1" showInputMessage="1" showErrorMessage="1" sqref="H5:H46">
      <formula1>"1,2,3,4,5"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8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</cols>
  <sheetData>
    <row r="1" spans="1:16" ht="44" customHeight="1">
      <c r="A1" s="37" t="s">
        <v>372</v>
      </c>
      <c r="B1" s="37"/>
      <c r="C1" s="37"/>
      <c r="D1" s="37"/>
      <c r="E1" s="37"/>
      <c r="F1" s="37"/>
      <c r="G1" s="37"/>
      <c r="H1" s="37"/>
      <c r="I1" s="37"/>
      <c r="J1" s="37"/>
      <c r="K1" s="38" t="s">
        <v>64</v>
      </c>
      <c r="L1" s="38"/>
      <c r="M1" s="38"/>
      <c r="N1" s="38"/>
      <c r="O1" s="38"/>
      <c r="P1" s="38"/>
    </row>
    <row r="2" spans="1:16" ht="20" customHeight="1">
      <c r="A2" s="11" t="s">
        <v>65</v>
      </c>
      <c r="B2" s="12" t="s">
        <v>31</v>
      </c>
      <c r="C2" s="12"/>
      <c r="D2" s="12"/>
      <c r="E2" s="11" t="s">
        <v>66</v>
      </c>
      <c r="F2" s="13">
        <f>COUNTA(C5:C46)</f>
        <v>0</v>
      </c>
      <c r="G2" s="11" t="s">
        <v>67</v>
      </c>
      <c r="H2" s="14">
        <f>COUNTIF(J5:J46,"Kritiek")</f>
        <v>0</v>
      </c>
      <c r="I2" s="11" t="s">
        <v>68</v>
      </c>
      <c r="J2" s="15">
        <f>COUNTIF(J5:J46,"Hoog")</f>
        <v>0</v>
      </c>
      <c r="K2" s="11" t="s">
        <v>69</v>
      </c>
      <c r="L2" s="16">
        <f>COUNTIF(J5:J46,"Middel")</f>
        <v>0</v>
      </c>
      <c r="M2" s="11" t="s">
        <v>70</v>
      </c>
      <c r="N2" s="12" t="s">
        <v>35</v>
      </c>
      <c r="O2" s="12"/>
      <c r="P2" s="12"/>
    </row>
    <row r="3" spans="1:16" ht="18" customHeight="1">
      <c r="A3" s="17" t="s">
        <v>71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40" customHeight="1">
      <c r="A4" s="18" t="s">
        <v>72</v>
      </c>
      <c r="B4" s="18" t="s">
        <v>73</v>
      </c>
      <c r="C4" s="18" t="s">
        <v>74</v>
      </c>
      <c r="D4" s="18" t="s">
        <v>75</v>
      </c>
      <c r="E4" s="19" t="s">
        <v>76</v>
      </c>
      <c r="F4" s="19" t="s">
        <v>77</v>
      </c>
      <c r="G4" s="20" t="s">
        <v>78</v>
      </c>
      <c r="H4" s="20" t="s">
        <v>79</v>
      </c>
      <c r="I4" s="18" t="s">
        <v>80</v>
      </c>
      <c r="J4" s="18" t="s">
        <v>81</v>
      </c>
      <c r="K4" s="18" t="s">
        <v>82</v>
      </c>
      <c r="L4" s="18" t="s">
        <v>83</v>
      </c>
      <c r="M4" s="18" t="s">
        <v>84</v>
      </c>
      <c r="N4" s="18" t="s">
        <v>85</v>
      </c>
      <c r="O4" s="20" t="s">
        <v>86</v>
      </c>
      <c r="P4" s="20" t="s">
        <v>87</v>
      </c>
    </row>
    <row r="5" spans="1:16" ht="38" customHeight="1">
      <c r="A5" s="21" t="s">
        <v>88</v>
      </c>
      <c r="B5" s="22" t="s">
        <v>89</v>
      </c>
      <c r="C5" s="23" t="s">
        <v>90</v>
      </c>
      <c r="D5" s="23" t="s">
        <v>91</v>
      </c>
      <c r="E5" s="24">
        <v>5</v>
      </c>
      <c r="F5" s="24">
        <v>5</v>
      </c>
      <c r="G5" s="25">
        <v>5</v>
      </c>
      <c r="H5" s="25">
        <v>5</v>
      </c>
      <c r="I5" s="26">
        <f>IF(AND(ISNUMBER(G5),ISNUMBER(H5)),G5*H5,"—")</f>
        <v>0</v>
      </c>
      <c r="J5" s="26">
        <f>IF(I5="—","—",IF(I5&gt;=15,"Kritiek",IF(I5&gt;=8,"Hoog",IF(I5&gt;=4,"Middel","Laag"))))</f>
        <v>0</v>
      </c>
      <c r="K5" s="23" t="s">
        <v>92</v>
      </c>
      <c r="L5" s="23" t="s">
        <v>93</v>
      </c>
      <c r="M5" s="27" t="s">
        <v>94</v>
      </c>
      <c r="N5" s="28"/>
      <c r="O5" s="29" t="s">
        <v>95</v>
      </c>
      <c r="P5" s="29" t="s">
        <v>96</v>
      </c>
    </row>
    <row r="6" spans="1:16" ht="38" customHeight="1">
      <c r="A6" s="30" t="s">
        <v>97</v>
      </c>
      <c r="B6" s="31" t="s">
        <v>89</v>
      </c>
      <c r="C6" s="4" t="s">
        <v>98</v>
      </c>
      <c r="D6" s="4" t="s">
        <v>99</v>
      </c>
      <c r="E6" s="24">
        <v>2</v>
      </c>
      <c r="F6" s="24">
        <v>4</v>
      </c>
      <c r="G6" s="25">
        <v>2</v>
      </c>
      <c r="H6" s="25">
        <v>4</v>
      </c>
      <c r="I6" s="26">
        <f>IF(AND(ISNUMBER(G6),ISNUMBER(H6)),G6*H6,"—")</f>
        <v>0</v>
      </c>
      <c r="J6" s="26">
        <f>IF(I6="—","—",IF(I6&gt;=15,"Kritiek",IF(I6&gt;=8,"Hoog",IF(I6&gt;=4,"Middel","Laag"))))</f>
        <v>0</v>
      </c>
      <c r="K6" s="4" t="s">
        <v>100</v>
      </c>
      <c r="L6" s="4" t="s">
        <v>101</v>
      </c>
      <c r="M6" s="32" t="s">
        <v>94</v>
      </c>
      <c r="N6" s="33"/>
      <c r="O6" s="34" t="s">
        <v>95</v>
      </c>
      <c r="P6" s="34" t="s">
        <v>102</v>
      </c>
    </row>
    <row r="7" spans="1:16" ht="38" customHeight="1">
      <c r="A7" s="21" t="s">
        <v>103</v>
      </c>
      <c r="B7" s="22" t="s">
        <v>89</v>
      </c>
      <c r="C7" s="23" t="s">
        <v>104</v>
      </c>
      <c r="D7" s="23" t="s">
        <v>105</v>
      </c>
      <c r="E7" s="24">
        <v>2</v>
      </c>
      <c r="F7" s="24">
        <v>5</v>
      </c>
      <c r="G7" s="25">
        <v>2</v>
      </c>
      <c r="H7" s="25">
        <v>5</v>
      </c>
      <c r="I7" s="26">
        <f>IF(AND(ISNUMBER(G7),ISNUMBER(H7)),G7*H7,"—")</f>
        <v>0</v>
      </c>
      <c r="J7" s="26">
        <f>IF(I7="—","—",IF(I7&gt;=15,"Kritiek",IF(I7&gt;=8,"Hoog",IF(I7&gt;=4,"Middel","Laag"))))</f>
        <v>0</v>
      </c>
      <c r="K7" s="23" t="s">
        <v>106</v>
      </c>
      <c r="L7" s="23" t="s">
        <v>107</v>
      </c>
      <c r="M7" s="27" t="s">
        <v>94</v>
      </c>
      <c r="N7" s="28"/>
      <c r="O7" s="29" t="s">
        <v>108</v>
      </c>
      <c r="P7" s="29" t="s">
        <v>109</v>
      </c>
    </row>
    <row r="8" spans="1:16" ht="38" customHeight="1">
      <c r="A8" s="30" t="s">
        <v>110</v>
      </c>
      <c r="B8" s="31" t="s">
        <v>89</v>
      </c>
      <c r="C8" s="4" t="s">
        <v>111</v>
      </c>
      <c r="D8" s="4" t="s">
        <v>112</v>
      </c>
      <c r="E8" s="24">
        <v>4</v>
      </c>
      <c r="F8" s="24">
        <v>4</v>
      </c>
      <c r="G8" s="25">
        <v>4</v>
      </c>
      <c r="H8" s="25">
        <v>4</v>
      </c>
      <c r="I8" s="26">
        <f>IF(AND(ISNUMBER(G8),ISNUMBER(H8)),G8*H8,"—")</f>
        <v>0</v>
      </c>
      <c r="J8" s="26">
        <f>IF(I8="—","—",IF(I8&gt;=15,"Kritiek",IF(I8&gt;=8,"Hoog",IF(I8&gt;=4,"Middel","Laag"))))</f>
        <v>0</v>
      </c>
      <c r="K8" s="4" t="s">
        <v>113</v>
      </c>
      <c r="L8" s="4" t="s">
        <v>114</v>
      </c>
      <c r="M8" s="32" t="s">
        <v>94</v>
      </c>
      <c r="N8" s="33"/>
      <c r="O8" s="34" t="s">
        <v>115</v>
      </c>
      <c r="P8" s="34" t="s">
        <v>116</v>
      </c>
    </row>
    <row r="9" spans="1:16" ht="38" customHeight="1">
      <c r="A9" s="21" t="s">
        <v>117</v>
      </c>
      <c r="B9" s="22" t="s">
        <v>89</v>
      </c>
      <c r="C9" s="23" t="s">
        <v>118</v>
      </c>
      <c r="D9" s="23" t="s">
        <v>119</v>
      </c>
      <c r="E9" s="24">
        <v>4</v>
      </c>
      <c r="F9" s="24">
        <v>2</v>
      </c>
      <c r="G9" s="25">
        <v>4</v>
      </c>
      <c r="H9" s="25">
        <v>2</v>
      </c>
      <c r="I9" s="26">
        <f>IF(AND(ISNUMBER(G9),ISNUMBER(H9)),G9*H9,"—")</f>
        <v>0</v>
      </c>
      <c r="J9" s="26">
        <f>IF(I9="—","—",IF(I9&gt;=15,"Kritiek",IF(I9&gt;=8,"Hoog",IF(I9&gt;=4,"Middel","Laag"))))</f>
        <v>0</v>
      </c>
      <c r="K9" s="23" t="s">
        <v>120</v>
      </c>
      <c r="L9" s="23" t="s">
        <v>121</v>
      </c>
      <c r="M9" s="27" t="s">
        <v>94</v>
      </c>
      <c r="N9" s="28"/>
      <c r="O9" s="29" t="s">
        <v>122</v>
      </c>
      <c r="P9" s="29" t="s">
        <v>123</v>
      </c>
    </row>
    <row r="10" spans="1:16" ht="38" customHeight="1">
      <c r="A10" s="30" t="s">
        <v>124</v>
      </c>
      <c r="B10" s="31" t="s">
        <v>125</v>
      </c>
      <c r="C10" s="4" t="s">
        <v>126</v>
      </c>
      <c r="D10" s="4" t="s">
        <v>127</v>
      </c>
      <c r="E10" s="24">
        <v>5</v>
      </c>
      <c r="F10" s="24">
        <v>3</v>
      </c>
      <c r="G10" s="25">
        <v>5</v>
      </c>
      <c r="H10" s="25">
        <v>3</v>
      </c>
      <c r="I10" s="26">
        <f>IF(AND(ISNUMBER(G10),ISNUMBER(H10)),G10*H10,"—")</f>
        <v>0</v>
      </c>
      <c r="J10" s="26">
        <f>IF(I10="—","—",IF(I10&gt;=15,"Kritiek",IF(I10&gt;=8,"Hoog",IF(I10&gt;=4,"Middel","Laag"))))</f>
        <v>0</v>
      </c>
      <c r="K10" s="4" t="s">
        <v>128</v>
      </c>
      <c r="L10" s="4" t="s">
        <v>129</v>
      </c>
      <c r="M10" s="32" t="s">
        <v>94</v>
      </c>
      <c r="N10" s="33"/>
      <c r="O10" s="34" t="s">
        <v>130</v>
      </c>
      <c r="P10" s="34" t="s">
        <v>131</v>
      </c>
    </row>
    <row r="11" spans="1:16" ht="38" customHeight="1">
      <c r="A11" s="21" t="s">
        <v>132</v>
      </c>
      <c r="B11" s="22" t="s">
        <v>125</v>
      </c>
      <c r="C11" s="23" t="s">
        <v>133</v>
      </c>
      <c r="D11" s="23" t="s">
        <v>134</v>
      </c>
      <c r="E11" s="24">
        <v>5</v>
      </c>
      <c r="F11" s="24">
        <v>3</v>
      </c>
      <c r="G11" s="25">
        <v>5</v>
      </c>
      <c r="H11" s="25">
        <v>3</v>
      </c>
      <c r="I11" s="26">
        <f>IF(AND(ISNUMBER(G11),ISNUMBER(H11)),G11*H11,"—")</f>
        <v>0</v>
      </c>
      <c r="J11" s="26">
        <f>IF(I11="—","—",IF(I11&gt;=15,"Kritiek",IF(I11&gt;=8,"Hoog",IF(I11&gt;=4,"Middel","Laag"))))</f>
        <v>0</v>
      </c>
      <c r="K11" s="23" t="s">
        <v>135</v>
      </c>
      <c r="L11" s="23" t="s">
        <v>136</v>
      </c>
      <c r="M11" s="27" t="s">
        <v>94</v>
      </c>
      <c r="N11" s="28"/>
      <c r="O11" s="29" t="s">
        <v>137</v>
      </c>
      <c r="P11" s="29" t="s">
        <v>138</v>
      </c>
    </row>
    <row r="12" spans="1:16" ht="38" customHeight="1">
      <c r="A12" s="30" t="s">
        <v>139</v>
      </c>
      <c r="B12" s="31" t="s">
        <v>125</v>
      </c>
      <c r="C12" s="4" t="s">
        <v>140</v>
      </c>
      <c r="D12" s="4" t="s">
        <v>141</v>
      </c>
      <c r="E12" s="24">
        <v>4</v>
      </c>
      <c r="F12" s="24">
        <v>3</v>
      </c>
      <c r="G12" s="25">
        <v>4</v>
      </c>
      <c r="H12" s="25">
        <v>3</v>
      </c>
      <c r="I12" s="26">
        <f>IF(AND(ISNUMBER(G12),ISNUMBER(H12)),G12*H12,"—")</f>
        <v>0</v>
      </c>
      <c r="J12" s="26">
        <f>IF(I12="—","—",IF(I12&gt;=15,"Kritiek",IF(I12&gt;=8,"Hoog",IF(I12&gt;=4,"Middel","Laag"))))</f>
        <v>0</v>
      </c>
      <c r="K12" s="4" t="s">
        <v>142</v>
      </c>
      <c r="L12" s="4" t="s">
        <v>143</v>
      </c>
      <c r="M12" s="32" t="s">
        <v>94</v>
      </c>
      <c r="N12" s="33"/>
      <c r="O12" s="34" t="s">
        <v>144</v>
      </c>
      <c r="P12" s="34" t="s">
        <v>145</v>
      </c>
    </row>
    <row r="13" spans="1:16" ht="38" customHeight="1">
      <c r="A13" s="21" t="s">
        <v>146</v>
      </c>
      <c r="B13" s="22" t="s">
        <v>125</v>
      </c>
      <c r="C13" s="23" t="s">
        <v>147</v>
      </c>
      <c r="D13" s="23" t="s">
        <v>148</v>
      </c>
      <c r="E13" s="24">
        <v>4</v>
      </c>
      <c r="F13" s="24">
        <v>3</v>
      </c>
      <c r="G13" s="25">
        <v>4</v>
      </c>
      <c r="H13" s="25">
        <v>3</v>
      </c>
      <c r="I13" s="26">
        <f>IF(AND(ISNUMBER(G13),ISNUMBER(H13)),G13*H13,"—")</f>
        <v>0</v>
      </c>
      <c r="J13" s="26">
        <f>IF(I13="—","—",IF(I13&gt;=15,"Kritiek",IF(I13&gt;=8,"Hoog",IF(I13&gt;=4,"Middel","Laag"))))</f>
        <v>0</v>
      </c>
      <c r="K13" s="23" t="s">
        <v>149</v>
      </c>
      <c r="L13" s="23" t="s">
        <v>150</v>
      </c>
      <c r="M13" s="27" t="s">
        <v>94</v>
      </c>
      <c r="N13" s="28"/>
      <c r="O13" s="29" t="s">
        <v>137</v>
      </c>
      <c r="P13" s="29" t="s">
        <v>151</v>
      </c>
    </row>
    <row r="14" spans="1:16" ht="38" customHeight="1">
      <c r="A14" s="30" t="s">
        <v>152</v>
      </c>
      <c r="B14" s="31" t="s">
        <v>153</v>
      </c>
      <c r="C14" s="4" t="s">
        <v>154</v>
      </c>
      <c r="D14" s="4" t="s">
        <v>155</v>
      </c>
      <c r="E14" s="24">
        <v>3</v>
      </c>
      <c r="F14" s="24">
        <v>5</v>
      </c>
      <c r="G14" s="25">
        <v>3</v>
      </c>
      <c r="H14" s="25">
        <v>5</v>
      </c>
      <c r="I14" s="26">
        <f>IF(AND(ISNUMBER(G14),ISNUMBER(H14)),G14*H14,"—")</f>
        <v>0</v>
      </c>
      <c r="J14" s="26">
        <f>IF(I14="—","—",IF(I14&gt;=15,"Kritiek",IF(I14&gt;=8,"Hoog",IF(I14&gt;=4,"Middel","Laag"))))</f>
        <v>0</v>
      </c>
      <c r="K14" s="4" t="s">
        <v>156</v>
      </c>
      <c r="L14" s="4" t="s">
        <v>157</v>
      </c>
      <c r="M14" s="32" t="s">
        <v>94</v>
      </c>
      <c r="N14" s="33"/>
      <c r="O14" s="34" t="s">
        <v>158</v>
      </c>
      <c r="P14" s="34" t="s">
        <v>159</v>
      </c>
    </row>
    <row r="15" spans="1:16" ht="38" customHeight="1">
      <c r="A15" s="21" t="s">
        <v>160</v>
      </c>
      <c r="B15" s="22" t="s">
        <v>153</v>
      </c>
      <c r="C15" s="23" t="s">
        <v>161</v>
      </c>
      <c r="D15" s="23" t="s">
        <v>162</v>
      </c>
      <c r="E15" s="24">
        <v>3</v>
      </c>
      <c r="F15" s="24">
        <v>4</v>
      </c>
      <c r="G15" s="25">
        <v>3</v>
      </c>
      <c r="H15" s="25">
        <v>4</v>
      </c>
      <c r="I15" s="26">
        <f>IF(AND(ISNUMBER(G15),ISNUMBER(H15)),G15*H15,"—")</f>
        <v>0</v>
      </c>
      <c r="J15" s="26">
        <f>IF(I15="—","—",IF(I15&gt;=15,"Kritiek",IF(I15&gt;=8,"Hoog",IF(I15&gt;=4,"Middel","Laag"))))</f>
        <v>0</v>
      </c>
      <c r="K15" s="23" t="s">
        <v>163</v>
      </c>
      <c r="L15" s="23" t="s">
        <v>164</v>
      </c>
      <c r="M15" s="27" t="s">
        <v>94</v>
      </c>
      <c r="N15" s="28"/>
      <c r="O15" s="29" t="s">
        <v>165</v>
      </c>
      <c r="P15" s="29" t="s">
        <v>166</v>
      </c>
    </row>
    <row r="16" spans="1:16" ht="38" customHeight="1">
      <c r="A16" s="30" t="s">
        <v>167</v>
      </c>
      <c r="B16" s="31" t="s">
        <v>153</v>
      </c>
      <c r="C16" s="4" t="s">
        <v>168</v>
      </c>
      <c r="D16" s="4" t="s">
        <v>169</v>
      </c>
      <c r="E16" s="24">
        <v>4</v>
      </c>
      <c r="F16" s="24">
        <v>3</v>
      </c>
      <c r="G16" s="25">
        <v>4</v>
      </c>
      <c r="H16" s="25">
        <v>3</v>
      </c>
      <c r="I16" s="26">
        <f>IF(AND(ISNUMBER(G16),ISNUMBER(H16)),G16*H16,"—")</f>
        <v>0</v>
      </c>
      <c r="J16" s="26">
        <f>IF(I16="—","—",IF(I16&gt;=15,"Kritiek",IF(I16&gt;=8,"Hoog",IF(I16&gt;=4,"Middel","Laag"))))</f>
        <v>0</v>
      </c>
      <c r="K16" s="4" t="s">
        <v>170</v>
      </c>
      <c r="L16" s="4" t="s">
        <v>171</v>
      </c>
      <c r="M16" s="32" t="s">
        <v>94</v>
      </c>
      <c r="N16" s="33"/>
      <c r="O16" s="34" t="s">
        <v>158</v>
      </c>
      <c r="P16" s="34" t="s">
        <v>172</v>
      </c>
    </row>
    <row r="17" spans="1:16" ht="38" customHeight="1">
      <c r="A17" s="21" t="s">
        <v>173</v>
      </c>
      <c r="B17" s="22" t="s">
        <v>153</v>
      </c>
      <c r="C17" s="23" t="s">
        <v>174</v>
      </c>
      <c r="D17" s="23" t="s">
        <v>175</v>
      </c>
      <c r="E17" s="24">
        <v>3</v>
      </c>
      <c r="F17" s="24">
        <v>4</v>
      </c>
      <c r="G17" s="25">
        <v>3</v>
      </c>
      <c r="H17" s="25">
        <v>4</v>
      </c>
      <c r="I17" s="26">
        <f>IF(AND(ISNUMBER(G17),ISNUMBER(H17)),G17*H17,"—")</f>
        <v>0</v>
      </c>
      <c r="J17" s="26">
        <f>IF(I17="—","—",IF(I17&gt;=15,"Kritiek",IF(I17&gt;=8,"Hoog",IF(I17&gt;=4,"Middel","Laag"))))</f>
        <v>0</v>
      </c>
      <c r="K17" s="23" t="s">
        <v>176</v>
      </c>
      <c r="L17" s="23" t="s">
        <v>177</v>
      </c>
      <c r="M17" s="27" t="s">
        <v>94</v>
      </c>
      <c r="N17" s="28"/>
      <c r="O17" s="29" t="s">
        <v>165</v>
      </c>
      <c r="P17" s="29" t="s">
        <v>178</v>
      </c>
    </row>
    <row r="18" spans="1:16" ht="38" customHeight="1">
      <c r="A18" s="30" t="s">
        <v>179</v>
      </c>
      <c r="B18" s="31" t="s">
        <v>180</v>
      </c>
      <c r="C18" s="4" t="s">
        <v>181</v>
      </c>
      <c r="D18" s="4" t="s">
        <v>182</v>
      </c>
      <c r="E18" s="24">
        <v>5</v>
      </c>
      <c r="F18" s="24">
        <v>3</v>
      </c>
      <c r="G18" s="25">
        <v>5</v>
      </c>
      <c r="H18" s="25">
        <v>3</v>
      </c>
      <c r="I18" s="26">
        <f>IF(AND(ISNUMBER(G18),ISNUMBER(H18)),G18*H18,"—")</f>
        <v>0</v>
      </c>
      <c r="J18" s="26">
        <f>IF(I18="—","—",IF(I18&gt;=15,"Kritiek",IF(I18&gt;=8,"Hoog",IF(I18&gt;=4,"Middel","Laag"))))</f>
        <v>0</v>
      </c>
      <c r="K18" s="4" t="s">
        <v>183</v>
      </c>
      <c r="L18" s="4" t="s">
        <v>184</v>
      </c>
      <c r="M18" s="32" t="s">
        <v>94</v>
      </c>
      <c r="N18" s="33"/>
      <c r="O18" s="34" t="s">
        <v>185</v>
      </c>
      <c r="P18" s="34" t="s">
        <v>186</v>
      </c>
    </row>
    <row r="19" spans="1:16" ht="38" customHeight="1">
      <c r="A19" s="21" t="s">
        <v>187</v>
      </c>
      <c r="B19" s="22" t="s">
        <v>180</v>
      </c>
      <c r="C19" s="23" t="s">
        <v>188</v>
      </c>
      <c r="D19" s="23" t="s">
        <v>189</v>
      </c>
      <c r="E19" s="24">
        <v>4</v>
      </c>
      <c r="F19" s="24">
        <v>4</v>
      </c>
      <c r="G19" s="25">
        <v>4</v>
      </c>
      <c r="H19" s="25">
        <v>4</v>
      </c>
      <c r="I19" s="26">
        <f>IF(AND(ISNUMBER(G19),ISNUMBER(H19)),G19*H19,"—")</f>
        <v>0</v>
      </c>
      <c r="J19" s="26">
        <f>IF(I19="—","—",IF(I19&gt;=15,"Kritiek",IF(I19&gt;=8,"Hoog",IF(I19&gt;=4,"Middel","Laag"))))</f>
        <v>0</v>
      </c>
      <c r="K19" s="23" t="s">
        <v>190</v>
      </c>
      <c r="L19" s="23" t="s">
        <v>191</v>
      </c>
      <c r="M19" s="27" t="s">
        <v>94</v>
      </c>
      <c r="N19" s="28"/>
      <c r="O19" s="29" t="s">
        <v>192</v>
      </c>
      <c r="P19" s="29" t="s">
        <v>193</v>
      </c>
    </row>
    <row r="20" spans="1:16" ht="38" customHeight="1">
      <c r="A20" s="30" t="s">
        <v>194</v>
      </c>
      <c r="B20" s="31" t="s">
        <v>180</v>
      </c>
      <c r="C20" s="4" t="s">
        <v>195</v>
      </c>
      <c r="D20" s="4" t="s">
        <v>196</v>
      </c>
      <c r="E20" s="24">
        <v>3</v>
      </c>
      <c r="F20" s="24">
        <v>5</v>
      </c>
      <c r="G20" s="25">
        <v>3</v>
      </c>
      <c r="H20" s="25">
        <v>5</v>
      </c>
      <c r="I20" s="26">
        <f>IF(AND(ISNUMBER(G20),ISNUMBER(H20)),G20*H20,"—")</f>
        <v>0</v>
      </c>
      <c r="J20" s="26">
        <f>IF(I20="—","—",IF(I20&gt;=15,"Kritiek",IF(I20&gt;=8,"Hoog",IF(I20&gt;=4,"Middel","Laag"))))</f>
        <v>0</v>
      </c>
      <c r="K20" s="4" t="s">
        <v>197</v>
      </c>
      <c r="L20" s="4" t="s">
        <v>198</v>
      </c>
      <c r="M20" s="32" t="s">
        <v>94</v>
      </c>
      <c r="N20" s="33"/>
      <c r="O20" s="34" t="s">
        <v>199</v>
      </c>
      <c r="P20" s="34" t="s">
        <v>200</v>
      </c>
    </row>
    <row r="21" spans="1:16" ht="38" customHeight="1">
      <c r="A21" s="21" t="s">
        <v>201</v>
      </c>
      <c r="B21" s="22" t="s">
        <v>180</v>
      </c>
      <c r="C21" s="23" t="s">
        <v>202</v>
      </c>
      <c r="D21" s="23" t="s">
        <v>203</v>
      </c>
      <c r="E21" s="24">
        <v>4</v>
      </c>
      <c r="F21" s="24">
        <v>4</v>
      </c>
      <c r="G21" s="25">
        <v>4</v>
      </c>
      <c r="H21" s="25">
        <v>4</v>
      </c>
      <c r="I21" s="26">
        <f>IF(AND(ISNUMBER(G21),ISNUMBER(H21)),G21*H21,"—")</f>
        <v>0</v>
      </c>
      <c r="J21" s="26">
        <f>IF(I21="—","—",IF(I21&gt;=15,"Kritiek",IF(I21&gt;=8,"Hoog",IF(I21&gt;=4,"Middel","Laag"))))</f>
        <v>0</v>
      </c>
      <c r="K21" s="23" t="s">
        <v>204</v>
      </c>
      <c r="L21" s="23" t="s">
        <v>205</v>
      </c>
      <c r="M21" s="27" t="s">
        <v>94</v>
      </c>
      <c r="N21" s="28"/>
      <c r="O21" s="29" t="s">
        <v>206</v>
      </c>
      <c r="P21" s="29" t="s">
        <v>207</v>
      </c>
    </row>
    <row r="22" spans="1:16" ht="38" customHeight="1">
      <c r="A22" s="30" t="s">
        <v>208</v>
      </c>
      <c r="B22" s="31" t="s">
        <v>180</v>
      </c>
      <c r="C22" s="4" t="s">
        <v>209</v>
      </c>
      <c r="D22" s="4" t="s">
        <v>210</v>
      </c>
      <c r="E22" s="24">
        <v>3</v>
      </c>
      <c r="F22" s="24">
        <v>4</v>
      </c>
      <c r="G22" s="25">
        <v>3</v>
      </c>
      <c r="H22" s="25">
        <v>4</v>
      </c>
      <c r="I22" s="26">
        <f>IF(AND(ISNUMBER(G22),ISNUMBER(H22)),G22*H22,"—")</f>
        <v>0</v>
      </c>
      <c r="J22" s="26">
        <f>IF(I22="—","—",IF(I22&gt;=15,"Kritiek",IF(I22&gt;=8,"Hoog",IF(I22&gt;=4,"Middel","Laag"))))</f>
        <v>0</v>
      </c>
      <c r="K22" s="4" t="s">
        <v>211</v>
      </c>
      <c r="L22" s="4" t="s">
        <v>212</v>
      </c>
      <c r="M22" s="32" t="s">
        <v>94</v>
      </c>
      <c r="N22" s="33"/>
      <c r="O22" s="34" t="s">
        <v>206</v>
      </c>
      <c r="P22" s="34" t="s">
        <v>213</v>
      </c>
    </row>
    <row r="23" spans="1:16" ht="38" customHeight="1">
      <c r="A23" s="21" t="s">
        <v>214</v>
      </c>
      <c r="B23" s="22" t="s">
        <v>215</v>
      </c>
      <c r="C23" s="23" t="s">
        <v>216</v>
      </c>
      <c r="D23" s="23" t="s">
        <v>217</v>
      </c>
      <c r="E23" s="24">
        <v>4</v>
      </c>
      <c r="F23" s="24">
        <v>5</v>
      </c>
      <c r="G23" s="25">
        <v>4</v>
      </c>
      <c r="H23" s="25">
        <v>5</v>
      </c>
      <c r="I23" s="26">
        <f>IF(AND(ISNUMBER(G23),ISNUMBER(H23)),G23*H23,"—")</f>
        <v>0</v>
      </c>
      <c r="J23" s="26">
        <f>IF(I23="—","—",IF(I23&gt;=15,"Kritiek",IF(I23&gt;=8,"Hoog",IF(I23&gt;=4,"Middel","Laag"))))</f>
        <v>0</v>
      </c>
      <c r="K23" s="23" t="s">
        <v>218</v>
      </c>
      <c r="L23" s="23" t="s">
        <v>219</v>
      </c>
      <c r="M23" s="27" t="s">
        <v>94</v>
      </c>
      <c r="N23" s="28"/>
      <c r="O23" s="29" t="s">
        <v>122</v>
      </c>
      <c r="P23" s="29" t="s">
        <v>220</v>
      </c>
    </row>
    <row r="24" spans="1:16" ht="38" customHeight="1">
      <c r="A24" s="30" t="s">
        <v>221</v>
      </c>
      <c r="B24" s="31" t="s">
        <v>215</v>
      </c>
      <c r="C24" s="4" t="s">
        <v>222</v>
      </c>
      <c r="D24" s="4" t="s">
        <v>223</v>
      </c>
      <c r="E24" s="24">
        <v>4</v>
      </c>
      <c r="F24" s="24">
        <v>4</v>
      </c>
      <c r="G24" s="25">
        <v>4</v>
      </c>
      <c r="H24" s="25">
        <v>4</v>
      </c>
      <c r="I24" s="26">
        <f>IF(AND(ISNUMBER(G24),ISNUMBER(H24)),G24*H24,"—")</f>
        <v>0</v>
      </c>
      <c r="J24" s="26">
        <f>IF(I24="—","—",IF(I24&gt;=15,"Kritiek",IF(I24&gt;=8,"Hoog",IF(I24&gt;=4,"Middel","Laag"))))</f>
        <v>0</v>
      </c>
      <c r="K24" s="4" t="s">
        <v>224</v>
      </c>
      <c r="L24" s="4" t="s">
        <v>225</v>
      </c>
      <c r="M24" s="32" t="s">
        <v>94</v>
      </c>
      <c r="N24" s="33"/>
      <c r="O24" s="34" t="s">
        <v>122</v>
      </c>
      <c r="P24" s="34" t="s">
        <v>226</v>
      </c>
    </row>
    <row r="25" spans="1:16" ht="38" customHeight="1">
      <c r="A25" s="21" t="s">
        <v>227</v>
      </c>
      <c r="B25" s="22" t="s">
        <v>215</v>
      </c>
      <c r="C25" s="23" t="s">
        <v>228</v>
      </c>
      <c r="D25" s="23" t="s">
        <v>229</v>
      </c>
      <c r="E25" s="24">
        <v>5</v>
      </c>
      <c r="F25" s="24">
        <v>5</v>
      </c>
      <c r="G25" s="25">
        <v>5</v>
      </c>
      <c r="H25" s="25">
        <v>5</v>
      </c>
      <c r="I25" s="26">
        <f>IF(AND(ISNUMBER(G25),ISNUMBER(H25)),G25*H25,"—")</f>
        <v>0</v>
      </c>
      <c r="J25" s="26">
        <f>IF(I25="—","—",IF(I25&gt;=15,"Kritiek",IF(I25&gt;=8,"Hoog",IF(I25&gt;=4,"Middel","Laag"))))</f>
        <v>0</v>
      </c>
      <c r="K25" s="23" t="s">
        <v>230</v>
      </c>
      <c r="L25" s="23" t="s">
        <v>231</v>
      </c>
      <c r="M25" s="27" t="s">
        <v>94</v>
      </c>
      <c r="N25" s="28"/>
      <c r="O25" s="29" t="s">
        <v>232</v>
      </c>
      <c r="P25" s="29" t="s">
        <v>233</v>
      </c>
    </row>
    <row r="26" spans="1:16" ht="38" customHeight="1">
      <c r="A26" s="30" t="s">
        <v>234</v>
      </c>
      <c r="B26" s="31" t="s">
        <v>215</v>
      </c>
      <c r="C26" s="4" t="s">
        <v>235</v>
      </c>
      <c r="D26" s="4" t="s">
        <v>236</v>
      </c>
      <c r="E26" s="24">
        <v>3</v>
      </c>
      <c r="F26" s="24">
        <v>4</v>
      </c>
      <c r="G26" s="25">
        <v>3</v>
      </c>
      <c r="H26" s="25">
        <v>4</v>
      </c>
      <c r="I26" s="26">
        <f>IF(AND(ISNUMBER(G26),ISNUMBER(H26)),G26*H26,"—")</f>
        <v>0</v>
      </c>
      <c r="J26" s="26">
        <f>IF(I26="—","—",IF(I26&gt;=15,"Kritiek",IF(I26&gt;=8,"Hoog",IF(I26&gt;=4,"Middel","Laag"))))</f>
        <v>0</v>
      </c>
      <c r="K26" s="4" t="s">
        <v>237</v>
      </c>
      <c r="L26" s="4" t="s">
        <v>238</v>
      </c>
      <c r="M26" s="32" t="s">
        <v>94</v>
      </c>
      <c r="N26" s="33"/>
      <c r="O26" s="34" t="s">
        <v>165</v>
      </c>
      <c r="P26" s="34" t="s">
        <v>178</v>
      </c>
    </row>
    <row r="27" spans="1:16" ht="38" customHeight="1">
      <c r="A27" s="21" t="s">
        <v>239</v>
      </c>
      <c r="B27" s="22" t="s">
        <v>240</v>
      </c>
      <c r="C27" s="23" t="s">
        <v>241</v>
      </c>
      <c r="D27" s="23" t="s">
        <v>242</v>
      </c>
      <c r="E27" s="24">
        <v>3</v>
      </c>
      <c r="F27" s="24">
        <v>3</v>
      </c>
      <c r="G27" s="25">
        <v>3</v>
      </c>
      <c r="H27" s="25">
        <v>3</v>
      </c>
      <c r="I27" s="26">
        <f>IF(AND(ISNUMBER(G27),ISNUMBER(H27)),G27*H27,"—")</f>
        <v>0</v>
      </c>
      <c r="J27" s="26">
        <f>IF(I27="—","—",IF(I27&gt;=15,"Kritiek",IF(I27&gt;=8,"Hoog",IF(I27&gt;=4,"Middel","Laag"))))</f>
        <v>0</v>
      </c>
      <c r="K27" s="23" t="s">
        <v>243</v>
      </c>
      <c r="L27" s="23" t="s">
        <v>244</v>
      </c>
      <c r="M27" s="27" t="s">
        <v>94</v>
      </c>
      <c r="N27" s="28"/>
      <c r="O27" s="29" t="s">
        <v>95</v>
      </c>
      <c r="P27" s="29" t="s">
        <v>245</v>
      </c>
    </row>
    <row r="28" spans="1:16" ht="38" customHeight="1">
      <c r="A28" s="30" t="s">
        <v>246</v>
      </c>
      <c r="B28" s="31" t="s">
        <v>240</v>
      </c>
      <c r="C28" s="4" t="s">
        <v>247</v>
      </c>
      <c r="D28" s="4" t="s">
        <v>248</v>
      </c>
      <c r="E28" s="24">
        <v>3</v>
      </c>
      <c r="F28" s="24">
        <v>3</v>
      </c>
      <c r="G28" s="25">
        <v>3</v>
      </c>
      <c r="H28" s="25">
        <v>3</v>
      </c>
      <c r="I28" s="26">
        <f>IF(AND(ISNUMBER(G28),ISNUMBER(H28)),G28*H28,"—")</f>
        <v>0</v>
      </c>
      <c r="J28" s="26">
        <f>IF(I28="—","—",IF(I28&gt;=15,"Kritiek",IF(I28&gt;=8,"Hoog",IF(I28&gt;=4,"Middel","Laag"))))</f>
        <v>0</v>
      </c>
      <c r="K28" s="4" t="s">
        <v>249</v>
      </c>
      <c r="L28" s="4" t="s">
        <v>250</v>
      </c>
      <c r="M28" s="32" t="s">
        <v>94</v>
      </c>
      <c r="N28" s="33"/>
      <c r="O28" s="34" t="s">
        <v>122</v>
      </c>
      <c r="P28" s="34" t="s">
        <v>251</v>
      </c>
    </row>
    <row r="29" spans="1:16" ht="38" customHeight="1">
      <c r="A29" s="21" t="s">
        <v>252</v>
      </c>
      <c r="B29" s="22" t="s">
        <v>240</v>
      </c>
      <c r="C29" s="23" t="s">
        <v>253</v>
      </c>
      <c r="D29" s="23" t="s">
        <v>254</v>
      </c>
      <c r="E29" s="24">
        <v>2</v>
      </c>
      <c r="F29" s="24">
        <v>3</v>
      </c>
      <c r="G29" s="25">
        <v>2</v>
      </c>
      <c r="H29" s="25">
        <v>3</v>
      </c>
      <c r="I29" s="26">
        <f>IF(AND(ISNUMBER(G29),ISNUMBER(H29)),G29*H29,"—")</f>
        <v>0</v>
      </c>
      <c r="J29" s="26">
        <f>IF(I29="—","—",IF(I29&gt;=15,"Kritiek",IF(I29&gt;=8,"Hoog",IF(I29&gt;=4,"Middel","Laag"))))</f>
        <v>0</v>
      </c>
      <c r="K29" s="23" t="s">
        <v>255</v>
      </c>
      <c r="L29" s="23" t="s">
        <v>256</v>
      </c>
      <c r="M29" s="27" t="s">
        <v>94</v>
      </c>
      <c r="N29" s="28"/>
      <c r="O29" s="29" t="s">
        <v>122</v>
      </c>
      <c r="P29" s="29" t="s">
        <v>257</v>
      </c>
    </row>
    <row r="30" spans="1:16" ht="38" customHeight="1">
      <c r="A30" s="30" t="s">
        <v>258</v>
      </c>
      <c r="B30" s="31" t="s">
        <v>259</v>
      </c>
      <c r="C30" s="4" t="s">
        <v>260</v>
      </c>
      <c r="D30" s="4" t="s">
        <v>261</v>
      </c>
      <c r="E30" s="24">
        <v>2</v>
      </c>
      <c r="F30" s="24">
        <v>5</v>
      </c>
      <c r="G30" s="25">
        <v>2</v>
      </c>
      <c r="H30" s="25">
        <v>5</v>
      </c>
      <c r="I30" s="26">
        <f>IF(AND(ISNUMBER(G30),ISNUMBER(H30)),G30*H30,"—")</f>
        <v>0</v>
      </c>
      <c r="J30" s="26">
        <f>IF(I30="—","—",IF(I30&gt;=15,"Kritiek",IF(I30&gt;=8,"Hoog",IF(I30&gt;=4,"Middel","Laag"))))</f>
        <v>0</v>
      </c>
      <c r="K30" s="4" t="s">
        <v>262</v>
      </c>
      <c r="L30" s="4" t="s">
        <v>263</v>
      </c>
      <c r="M30" s="32" t="s">
        <v>94</v>
      </c>
      <c r="N30" s="33"/>
      <c r="O30" s="34" t="s">
        <v>264</v>
      </c>
      <c r="P30" s="34" t="s">
        <v>265</v>
      </c>
    </row>
    <row r="31" spans="1:16" ht="38" customHeight="1">
      <c r="A31" s="21" t="s">
        <v>266</v>
      </c>
      <c r="B31" s="22" t="s">
        <v>259</v>
      </c>
      <c r="C31" s="23" t="s">
        <v>267</v>
      </c>
      <c r="D31" s="23" t="s">
        <v>268</v>
      </c>
      <c r="E31" s="24">
        <v>5</v>
      </c>
      <c r="F31" s="24">
        <v>3</v>
      </c>
      <c r="G31" s="25">
        <v>5</v>
      </c>
      <c r="H31" s="25">
        <v>3</v>
      </c>
      <c r="I31" s="26">
        <f>IF(AND(ISNUMBER(G31),ISNUMBER(H31)),G31*H31,"—")</f>
        <v>0</v>
      </c>
      <c r="J31" s="26">
        <f>IF(I31="—","—",IF(I31&gt;=15,"Kritiek",IF(I31&gt;=8,"Hoog",IF(I31&gt;=4,"Middel","Laag"))))</f>
        <v>0</v>
      </c>
      <c r="K31" s="23" t="s">
        <v>269</v>
      </c>
      <c r="L31" s="23" t="s">
        <v>270</v>
      </c>
      <c r="M31" s="27" t="s">
        <v>94</v>
      </c>
      <c r="N31" s="28"/>
      <c r="O31" s="29" t="s">
        <v>130</v>
      </c>
      <c r="P31" s="29" t="s">
        <v>271</v>
      </c>
    </row>
    <row r="32" spans="1:16" ht="38" customHeight="1">
      <c r="A32" s="30" t="s">
        <v>272</v>
      </c>
      <c r="B32" s="31" t="s">
        <v>259</v>
      </c>
      <c r="C32" s="4" t="s">
        <v>273</v>
      </c>
      <c r="D32" s="4" t="s">
        <v>274</v>
      </c>
      <c r="E32" s="24">
        <v>4</v>
      </c>
      <c r="F32" s="24">
        <v>3</v>
      </c>
      <c r="G32" s="25">
        <v>4</v>
      </c>
      <c r="H32" s="25">
        <v>3</v>
      </c>
      <c r="I32" s="26">
        <f>IF(AND(ISNUMBER(G32),ISNUMBER(H32)),G32*H32,"—")</f>
        <v>0</v>
      </c>
      <c r="J32" s="26">
        <f>IF(I32="—","—",IF(I32&gt;=15,"Kritiek",IF(I32&gt;=8,"Hoog",IF(I32&gt;=4,"Middel","Laag"))))</f>
        <v>0</v>
      </c>
      <c r="K32" s="4" t="s">
        <v>275</v>
      </c>
      <c r="L32" s="4" t="s">
        <v>276</v>
      </c>
      <c r="M32" s="32" t="s">
        <v>94</v>
      </c>
      <c r="N32" s="33"/>
      <c r="O32" s="34" t="s">
        <v>264</v>
      </c>
      <c r="P32" s="34" t="s">
        <v>277</v>
      </c>
    </row>
    <row r="33" spans="1:16" ht="38" customHeight="1">
      <c r="A33" s="21" t="s">
        <v>278</v>
      </c>
      <c r="B33" s="22" t="s">
        <v>279</v>
      </c>
      <c r="C33" s="23" t="s">
        <v>280</v>
      </c>
      <c r="D33" s="23" t="s">
        <v>281</v>
      </c>
      <c r="E33" s="24">
        <v>2</v>
      </c>
      <c r="F33" s="24">
        <v>4</v>
      </c>
      <c r="G33" s="25">
        <v>2</v>
      </c>
      <c r="H33" s="25">
        <v>4</v>
      </c>
      <c r="I33" s="26">
        <f>IF(AND(ISNUMBER(G33),ISNUMBER(H33)),G33*H33,"—")</f>
        <v>0</v>
      </c>
      <c r="J33" s="26">
        <f>IF(I33="—","—",IF(I33&gt;=15,"Kritiek",IF(I33&gt;=8,"Hoog",IF(I33&gt;=4,"Middel","Laag"))))</f>
        <v>0</v>
      </c>
      <c r="K33" s="23" t="s">
        <v>282</v>
      </c>
      <c r="L33" s="23" t="s">
        <v>283</v>
      </c>
      <c r="M33" s="27" t="s">
        <v>94</v>
      </c>
      <c r="N33" s="28"/>
      <c r="O33" s="29" t="s">
        <v>95</v>
      </c>
      <c r="P33" s="29" t="s">
        <v>102</v>
      </c>
    </row>
    <row r="34" spans="1:16" ht="38" customHeight="1">
      <c r="A34" s="30" t="s">
        <v>284</v>
      </c>
      <c r="B34" s="31" t="s">
        <v>279</v>
      </c>
      <c r="C34" s="4" t="s">
        <v>285</v>
      </c>
      <c r="D34" s="4" t="s">
        <v>286</v>
      </c>
      <c r="E34" s="24">
        <v>2</v>
      </c>
      <c r="F34" s="24">
        <v>3</v>
      </c>
      <c r="G34" s="25">
        <v>2</v>
      </c>
      <c r="H34" s="25">
        <v>3</v>
      </c>
      <c r="I34" s="26">
        <f>IF(AND(ISNUMBER(G34),ISNUMBER(H34)),G34*H34,"—")</f>
        <v>0</v>
      </c>
      <c r="J34" s="26">
        <f>IF(I34="—","—",IF(I34&gt;=15,"Kritiek",IF(I34&gt;=8,"Hoog",IF(I34&gt;=4,"Middel","Laag"))))</f>
        <v>0</v>
      </c>
      <c r="K34" s="4" t="s">
        <v>287</v>
      </c>
      <c r="L34" s="4" t="s">
        <v>288</v>
      </c>
      <c r="M34" s="32" t="s">
        <v>94</v>
      </c>
      <c r="N34" s="33"/>
      <c r="O34" s="34" t="s">
        <v>122</v>
      </c>
      <c r="P34" s="34" t="s">
        <v>289</v>
      </c>
    </row>
    <row r="35" spans="1:16" ht="38" customHeight="1">
      <c r="A35" s="21" t="s">
        <v>290</v>
      </c>
      <c r="B35" s="22" t="s">
        <v>279</v>
      </c>
      <c r="C35" s="23" t="s">
        <v>291</v>
      </c>
      <c r="D35" s="23" t="s">
        <v>292</v>
      </c>
      <c r="E35" s="24">
        <v>2</v>
      </c>
      <c r="F35" s="24">
        <v>3</v>
      </c>
      <c r="G35" s="25">
        <v>2</v>
      </c>
      <c r="H35" s="25">
        <v>3</v>
      </c>
      <c r="I35" s="26">
        <f>IF(AND(ISNUMBER(G35),ISNUMBER(H35)),G35*H35,"—")</f>
        <v>0</v>
      </c>
      <c r="J35" s="26">
        <f>IF(I35="—","—",IF(I35&gt;=15,"Kritiek",IF(I35&gt;=8,"Hoog",IF(I35&gt;=4,"Middel","Laag"))))</f>
        <v>0</v>
      </c>
      <c r="K35" s="23" t="s">
        <v>293</v>
      </c>
      <c r="L35" s="23" t="s">
        <v>294</v>
      </c>
      <c r="M35" s="27" t="s">
        <v>94</v>
      </c>
      <c r="N35" s="28"/>
      <c r="O35" s="29" t="s">
        <v>122</v>
      </c>
      <c r="P35" s="29" t="s">
        <v>295</v>
      </c>
    </row>
    <row r="36" spans="1:16" ht="38" customHeight="1">
      <c r="A36" s="30" t="s">
        <v>296</v>
      </c>
      <c r="B36" s="31" t="s">
        <v>279</v>
      </c>
      <c r="C36" s="4" t="s">
        <v>297</v>
      </c>
      <c r="D36" s="4" t="s">
        <v>298</v>
      </c>
      <c r="E36" s="24">
        <v>2</v>
      </c>
      <c r="F36" s="24">
        <v>5</v>
      </c>
      <c r="G36" s="25">
        <v>2</v>
      </c>
      <c r="H36" s="25">
        <v>5</v>
      </c>
      <c r="I36" s="26">
        <f>IF(AND(ISNUMBER(G36),ISNUMBER(H36)),G36*H36,"—")</f>
        <v>0</v>
      </c>
      <c r="J36" s="26">
        <f>IF(I36="—","—",IF(I36&gt;=15,"Kritiek",IF(I36&gt;=8,"Hoog",IF(I36&gt;=4,"Middel","Laag"))))</f>
        <v>0</v>
      </c>
      <c r="K36" s="4" t="s">
        <v>299</v>
      </c>
      <c r="L36" s="4" t="s">
        <v>300</v>
      </c>
      <c r="M36" s="32" t="s">
        <v>94</v>
      </c>
      <c r="N36" s="33"/>
      <c r="O36" s="34" t="s">
        <v>95</v>
      </c>
      <c r="P36" s="34" t="s">
        <v>301</v>
      </c>
    </row>
    <row r="37" spans="1:16" ht="38" customHeight="1">
      <c r="A37" s="21" t="s">
        <v>302</v>
      </c>
      <c r="B37" s="22" t="s">
        <v>303</v>
      </c>
      <c r="C37" s="23" t="s">
        <v>304</v>
      </c>
      <c r="D37" s="23" t="s">
        <v>305</v>
      </c>
      <c r="E37" s="24">
        <v>3</v>
      </c>
      <c r="F37" s="24">
        <v>4</v>
      </c>
      <c r="G37" s="25">
        <v>3</v>
      </c>
      <c r="H37" s="25">
        <v>4</v>
      </c>
      <c r="I37" s="26">
        <f>IF(AND(ISNUMBER(G37),ISNUMBER(H37)),G37*H37,"—")</f>
        <v>0</v>
      </c>
      <c r="J37" s="26">
        <f>IF(I37="—","—",IF(I37&gt;=15,"Kritiek",IF(I37&gt;=8,"Hoog",IF(I37&gt;=4,"Middel","Laag"))))</f>
        <v>0</v>
      </c>
      <c r="K37" s="23" t="s">
        <v>306</v>
      </c>
      <c r="L37" s="23" t="s">
        <v>307</v>
      </c>
      <c r="M37" s="27" t="s">
        <v>94</v>
      </c>
      <c r="N37" s="28"/>
      <c r="O37" s="29" t="s">
        <v>308</v>
      </c>
      <c r="P37" s="29" t="s">
        <v>309</v>
      </c>
    </row>
    <row r="38" spans="1:16" ht="38" customHeight="1">
      <c r="A38" s="30" t="s">
        <v>310</v>
      </c>
      <c r="B38" s="31" t="s">
        <v>303</v>
      </c>
      <c r="C38" s="4" t="s">
        <v>311</v>
      </c>
      <c r="D38" s="4" t="s">
        <v>312</v>
      </c>
      <c r="E38" s="24">
        <v>3</v>
      </c>
      <c r="F38" s="24">
        <v>5</v>
      </c>
      <c r="G38" s="25">
        <v>3</v>
      </c>
      <c r="H38" s="25">
        <v>5</v>
      </c>
      <c r="I38" s="26">
        <f>IF(AND(ISNUMBER(G38),ISNUMBER(H38)),G38*H38,"—")</f>
        <v>0</v>
      </c>
      <c r="J38" s="26">
        <f>IF(I38="—","—",IF(I38&gt;=15,"Kritiek",IF(I38&gt;=8,"Hoog",IF(I38&gt;=4,"Middel","Laag"))))</f>
        <v>0</v>
      </c>
      <c r="K38" s="4" t="s">
        <v>313</v>
      </c>
      <c r="L38" s="4" t="s">
        <v>314</v>
      </c>
      <c r="M38" s="32" t="s">
        <v>94</v>
      </c>
      <c r="N38" s="33"/>
      <c r="O38" s="34" t="s">
        <v>308</v>
      </c>
      <c r="P38" s="34" t="s">
        <v>315</v>
      </c>
    </row>
    <row r="39" spans="1:16" ht="38" customHeight="1">
      <c r="A39" s="21" t="s">
        <v>316</v>
      </c>
      <c r="B39" s="22" t="s">
        <v>303</v>
      </c>
      <c r="C39" s="23" t="s">
        <v>317</v>
      </c>
      <c r="D39" s="23" t="s">
        <v>318</v>
      </c>
      <c r="E39" s="24">
        <v>3</v>
      </c>
      <c r="F39" s="24">
        <v>3</v>
      </c>
      <c r="G39" s="25">
        <v>3</v>
      </c>
      <c r="H39" s="25">
        <v>3</v>
      </c>
      <c r="I39" s="26">
        <f>IF(AND(ISNUMBER(G39),ISNUMBER(H39)),G39*H39,"—")</f>
        <v>0</v>
      </c>
      <c r="J39" s="26">
        <f>IF(I39="—","—",IF(I39&gt;=15,"Kritiek",IF(I39&gt;=8,"Hoog",IF(I39&gt;=4,"Middel","Laag"))))</f>
        <v>0</v>
      </c>
      <c r="K39" s="23" t="s">
        <v>319</v>
      </c>
      <c r="L39" s="23" t="s">
        <v>320</v>
      </c>
      <c r="M39" s="27" t="s">
        <v>94</v>
      </c>
      <c r="N39" s="28"/>
      <c r="O39" s="29" t="s">
        <v>321</v>
      </c>
      <c r="P39" s="29" t="s">
        <v>322</v>
      </c>
    </row>
    <row r="40" spans="1:16" ht="38" customHeight="1">
      <c r="A40" s="30" t="s">
        <v>323</v>
      </c>
      <c r="B40" s="31" t="s">
        <v>303</v>
      </c>
      <c r="C40" s="4" t="s">
        <v>324</v>
      </c>
      <c r="D40" s="4" t="s">
        <v>325</v>
      </c>
      <c r="E40" s="24">
        <v>2</v>
      </c>
      <c r="F40" s="24">
        <v>4</v>
      </c>
      <c r="G40" s="25">
        <v>2</v>
      </c>
      <c r="H40" s="25">
        <v>4</v>
      </c>
      <c r="I40" s="26">
        <f>IF(AND(ISNUMBER(G40),ISNUMBER(H40)),G40*H40,"—")</f>
        <v>0</v>
      </c>
      <c r="J40" s="26">
        <f>IF(I40="—","—",IF(I40&gt;=15,"Kritiek",IF(I40&gt;=8,"Hoog",IF(I40&gt;=4,"Middel","Laag"))))</f>
        <v>0</v>
      </c>
      <c r="K40" s="4" t="s">
        <v>326</v>
      </c>
      <c r="L40" s="4" t="s">
        <v>327</v>
      </c>
      <c r="M40" s="32" t="s">
        <v>94</v>
      </c>
      <c r="N40" s="33"/>
      <c r="O40" s="34" t="s">
        <v>308</v>
      </c>
      <c r="P40" s="34" t="s">
        <v>328</v>
      </c>
    </row>
    <row r="41" spans="1:16" ht="38" customHeight="1">
      <c r="A41" s="21" t="s">
        <v>329</v>
      </c>
      <c r="B41" s="22" t="s">
        <v>330</v>
      </c>
      <c r="C41" s="23" t="s">
        <v>331</v>
      </c>
      <c r="D41" s="23" t="s">
        <v>332</v>
      </c>
      <c r="E41" s="24">
        <v>5</v>
      </c>
      <c r="F41" s="24">
        <v>3</v>
      </c>
      <c r="G41" s="25">
        <v>5</v>
      </c>
      <c r="H41" s="25">
        <v>3</v>
      </c>
      <c r="I41" s="26">
        <f>IF(AND(ISNUMBER(G41),ISNUMBER(H41)),G41*H41,"—")</f>
        <v>0</v>
      </c>
      <c r="J41" s="26">
        <f>IF(I41="—","—",IF(I41&gt;=15,"Kritiek",IF(I41&gt;=8,"Hoog",IF(I41&gt;=4,"Middel","Laag"))))</f>
        <v>0</v>
      </c>
      <c r="K41" s="23" t="s">
        <v>333</v>
      </c>
      <c r="L41" s="23" t="s">
        <v>334</v>
      </c>
      <c r="M41" s="27" t="s">
        <v>94</v>
      </c>
      <c r="N41" s="28"/>
      <c r="O41" s="29" t="s">
        <v>122</v>
      </c>
      <c r="P41" s="29" t="s">
        <v>335</v>
      </c>
    </row>
    <row r="42" spans="1:16" ht="38" customHeight="1">
      <c r="A42" s="30" t="s">
        <v>336</v>
      </c>
      <c r="B42" s="31" t="s">
        <v>330</v>
      </c>
      <c r="C42" s="4" t="s">
        <v>337</v>
      </c>
      <c r="D42" s="4" t="s">
        <v>338</v>
      </c>
      <c r="E42" s="24">
        <v>4</v>
      </c>
      <c r="F42" s="24">
        <v>3</v>
      </c>
      <c r="G42" s="25">
        <v>4</v>
      </c>
      <c r="H42" s="25">
        <v>3</v>
      </c>
      <c r="I42" s="26">
        <f>IF(AND(ISNUMBER(G42),ISNUMBER(H42)),G42*H42,"—")</f>
        <v>0</v>
      </c>
      <c r="J42" s="26">
        <f>IF(I42="—","—",IF(I42&gt;=15,"Kritiek",IF(I42&gt;=8,"Hoog",IF(I42&gt;=4,"Middel","Laag"))))</f>
        <v>0</v>
      </c>
      <c r="K42" s="4" t="s">
        <v>339</v>
      </c>
      <c r="L42" s="4" t="s">
        <v>340</v>
      </c>
      <c r="M42" s="32" t="s">
        <v>94</v>
      </c>
      <c r="N42" s="33"/>
      <c r="O42" s="34" t="s">
        <v>122</v>
      </c>
      <c r="P42" s="34" t="s">
        <v>341</v>
      </c>
    </row>
    <row r="43" spans="1:16" ht="38" customHeight="1">
      <c r="A43" s="21" t="s">
        <v>342</v>
      </c>
      <c r="B43" s="22" t="s">
        <v>330</v>
      </c>
      <c r="C43" s="23" t="s">
        <v>343</v>
      </c>
      <c r="D43" s="23" t="s">
        <v>344</v>
      </c>
      <c r="E43" s="24">
        <v>4</v>
      </c>
      <c r="F43" s="24">
        <v>3</v>
      </c>
      <c r="G43" s="25">
        <v>4</v>
      </c>
      <c r="H43" s="25">
        <v>3</v>
      </c>
      <c r="I43" s="26">
        <f>IF(AND(ISNUMBER(G43),ISNUMBER(H43)),G43*H43,"—")</f>
        <v>0</v>
      </c>
      <c r="J43" s="26">
        <f>IF(I43="—","—",IF(I43&gt;=15,"Kritiek",IF(I43&gt;=8,"Hoog",IF(I43&gt;=4,"Middel","Laag"))))</f>
        <v>0</v>
      </c>
      <c r="K43" s="23" t="s">
        <v>345</v>
      </c>
      <c r="L43" s="23" t="s">
        <v>346</v>
      </c>
      <c r="M43" s="27" t="s">
        <v>94</v>
      </c>
      <c r="N43" s="28"/>
      <c r="O43" s="29" t="s">
        <v>347</v>
      </c>
      <c r="P43" s="29" t="s">
        <v>348</v>
      </c>
    </row>
    <row r="44" spans="1:16" ht="38" customHeight="1">
      <c r="A44" s="30" t="s">
        <v>349</v>
      </c>
      <c r="B44" s="31" t="s">
        <v>330</v>
      </c>
      <c r="C44" s="4" t="s">
        <v>350</v>
      </c>
      <c r="D44" s="4" t="s">
        <v>351</v>
      </c>
      <c r="E44" s="24">
        <v>4</v>
      </c>
      <c r="F44" s="24">
        <v>3</v>
      </c>
      <c r="G44" s="25">
        <v>4</v>
      </c>
      <c r="H44" s="25">
        <v>3</v>
      </c>
      <c r="I44" s="26">
        <f>IF(AND(ISNUMBER(G44),ISNUMBER(H44)),G44*H44,"—")</f>
        <v>0</v>
      </c>
      <c r="J44" s="26">
        <f>IF(I44="—","—",IF(I44&gt;=15,"Kritiek",IF(I44&gt;=8,"Hoog",IF(I44&gt;=4,"Middel","Laag"))))</f>
        <v>0</v>
      </c>
      <c r="K44" s="4" t="s">
        <v>352</v>
      </c>
      <c r="L44" s="4" t="s">
        <v>353</v>
      </c>
      <c r="M44" s="32" t="s">
        <v>94</v>
      </c>
      <c r="N44" s="33"/>
      <c r="O44" s="34" t="s">
        <v>185</v>
      </c>
      <c r="P44" s="34" t="s">
        <v>354</v>
      </c>
    </row>
    <row r="45" spans="1:16" ht="38" customHeight="1">
      <c r="A45" s="21" t="s">
        <v>355</v>
      </c>
      <c r="B45" s="22" t="s">
        <v>330</v>
      </c>
      <c r="C45" s="23" t="s">
        <v>356</v>
      </c>
      <c r="D45" s="23" t="s">
        <v>357</v>
      </c>
      <c r="E45" s="24">
        <v>3</v>
      </c>
      <c r="F45" s="24">
        <v>4</v>
      </c>
      <c r="G45" s="25">
        <v>3</v>
      </c>
      <c r="H45" s="25">
        <v>4</v>
      </c>
      <c r="I45" s="26">
        <f>IF(AND(ISNUMBER(G45),ISNUMBER(H45)),G45*H45,"—")</f>
        <v>0</v>
      </c>
      <c r="J45" s="26">
        <f>IF(I45="—","—",IF(I45&gt;=15,"Kritiek",IF(I45&gt;=8,"Hoog",IF(I45&gt;=4,"Middel","Laag"))))</f>
        <v>0</v>
      </c>
      <c r="K45" s="23" t="s">
        <v>358</v>
      </c>
      <c r="L45" s="23" t="s">
        <v>359</v>
      </c>
      <c r="M45" s="27" t="s">
        <v>94</v>
      </c>
      <c r="N45" s="28"/>
      <c r="O45" s="29" t="s">
        <v>360</v>
      </c>
      <c r="P45" s="29" t="s">
        <v>361</v>
      </c>
    </row>
    <row r="46" spans="1:16" ht="38" customHeight="1">
      <c r="A46" s="30" t="s">
        <v>362</v>
      </c>
      <c r="B46" s="31" t="s">
        <v>330</v>
      </c>
      <c r="C46" s="4" t="s">
        <v>363</v>
      </c>
      <c r="D46" s="4" t="s">
        <v>364</v>
      </c>
      <c r="E46" s="24">
        <v>3</v>
      </c>
      <c r="F46" s="24">
        <v>4</v>
      </c>
      <c r="G46" s="25">
        <v>3</v>
      </c>
      <c r="H46" s="25">
        <v>4</v>
      </c>
      <c r="I46" s="26">
        <f>IF(AND(ISNUMBER(G46),ISNUMBER(H46)),G46*H46,"—")</f>
        <v>0</v>
      </c>
      <c r="J46" s="26">
        <f>IF(I46="—","—",IF(I46&gt;=15,"Kritiek",IF(I46&gt;=8,"Hoog",IF(I46&gt;=4,"Middel","Laag"))))</f>
        <v>0</v>
      </c>
      <c r="K46" s="4" t="s">
        <v>365</v>
      </c>
      <c r="L46" s="4" t="s">
        <v>366</v>
      </c>
      <c r="M46" s="32" t="s">
        <v>94</v>
      </c>
      <c r="N46" s="33"/>
      <c r="O46" s="34" t="s">
        <v>367</v>
      </c>
      <c r="P46" s="34" t="s">
        <v>368</v>
      </c>
    </row>
    <row r="48" spans="1:16">
      <c r="A48" s="8" t="s">
        <v>373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</sheetData>
  <sheetProtection sheet="1" objects="1" scenarios="1"/>
  <mergeCells count="6">
    <mergeCell ref="A1:J1"/>
    <mergeCell ref="K1:P1"/>
    <mergeCell ref="B2:D2"/>
    <mergeCell ref="N2:P2"/>
    <mergeCell ref="A3:P3"/>
    <mergeCell ref="A48:P48"/>
  </mergeCells>
  <conditionalFormatting sqref="I5:I46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J5:J46">
    <cfRule type="expression" dxfId="0" priority="5">
      <formula>AND(ISNUMBER(I5),I5&gt;=15)</formula>
    </cfRule>
    <cfRule type="expression" dxfId="1" priority="6">
      <formula>AND(ISNUMBER(I5),I5&gt;=8,I5&lt;15)</formula>
    </cfRule>
    <cfRule type="expression" dxfId="2" priority="7">
      <formula>AND(ISNUMBER(I5),I5&gt;=4,I5&lt;8)</formula>
    </cfRule>
    <cfRule type="expression" dxfId="3" priority="8">
      <formula>AND(ISNUMBER(I5),I5&gt;=1,I5&lt;4)</formula>
    </cfRule>
  </conditionalFormatting>
  <dataValidations count="3">
    <dataValidation type="list" allowBlank="1" showInputMessage="1" showErrorMessage="1" sqref="M5:M46">
      <formula1>"Ja,Nee,Deels"</formula1>
    </dataValidation>
    <dataValidation type="list" allowBlank="1" showInputMessage="1" showErrorMessage="1" sqref="G5:G46">
      <formula1>"1,2,3,4,5"</formula1>
    </dataValidation>
    <dataValidation type="list" allowBlank="1" showInputMessage="1" showErrorMessage="1" sqref="H5:H46">
      <formula1>"1,2,3,4,5"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8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</cols>
  <sheetData>
    <row r="1" spans="1:16" ht="44" customHeight="1">
      <c r="A1" s="39" t="s">
        <v>374</v>
      </c>
      <c r="B1" s="39"/>
      <c r="C1" s="39"/>
      <c r="D1" s="39"/>
      <c r="E1" s="39"/>
      <c r="F1" s="39"/>
      <c r="G1" s="39"/>
      <c r="H1" s="39"/>
      <c r="I1" s="39"/>
      <c r="J1" s="39"/>
      <c r="K1" s="40" t="s">
        <v>64</v>
      </c>
      <c r="L1" s="40"/>
      <c r="M1" s="40"/>
      <c r="N1" s="40"/>
      <c r="O1" s="40"/>
      <c r="P1" s="40"/>
    </row>
    <row r="2" spans="1:16" ht="20" customHeight="1">
      <c r="A2" s="11" t="s">
        <v>65</v>
      </c>
      <c r="B2" s="12" t="s">
        <v>31</v>
      </c>
      <c r="C2" s="12"/>
      <c r="D2" s="12"/>
      <c r="E2" s="11" t="s">
        <v>66</v>
      </c>
      <c r="F2" s="13">
        <f>COUNTA(C5:C46)</f>
        <v>0</v>
      </c>
      <c r="G2" s="11" t="s">
        <v>67</v>
      </c>
      <c r="H2" s="14">
        <f>COUNTIF(J5:J46,"Kritiek")</f>
        <v>0</v>
      </c>
      <c r="I2" s="11" t="s">
        <v>68</v>
      </c>
      <c r="J2" s="15">
        <f>COUNTIF(J5:J46,"Hoog")</f>
        <v>0</v>
      </c>
      <c r="K2" s="11" t="s">
        <v>69</v>
      </c>
      <c r="L2" s="16">
        <f>COUNTIF(J5:J46,"Middel")</f>
        <v>0</v>
      </c>
      <c r="M2" s="11" t="s">
        <v>70</v>
      </c>
      <c r="N2" s="12" t="s">
        <v>35</v>
      </c>
      <c r="O2" s="12"/>
      <c r="P2" s="12"/>
    </row>
    <row r="3" spans="1:16" ht="18" customHeight="1">
      <c r="A3" s="17" t="s">
        <v>71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40" customHeight="1">
      <c r="A4" s="18" t="s">
        <v>72</v>
      </c>
      <c r="B4" s="18" t="s">
        <v>73</v>
      </c>
      <c r="C4" s="18" t="s">
        <v>74</v>
      </c>
      <c r="D4" s="18" t="s">
        <v>75</v>
      </c>
      <c r="E4" s="19" t="s">
        <v>76</v>
      </c>
      <c r="F4" s="19" t="s">
        <v>77</v>
      </c>
      <c r="G4" s="20" t="s">
        <v>78</v>
      </c>
      <c r="H4" s="20" t="s">
        <v>79</v>
      </c>
      <c r="I4" s="18" t="s">
        <v>80</v>
      </c>
      <c r="J4" s="18" t="s">
        <v>81</v>
      </c>
      <c r="K4" s="18" t="s">
        <v>82</v>
      </c>
      <c r="L4" s="18" t="s">
        <v>83</v>
      </c>
      <c r="M4" s="18" t="s">
        <v>84</v>
      </c>
      <c r="N4" s="18" t="s">
        <v>85</v>
      </c>
      <c r="O4" s="20" t="s">
        <v>86</v>
      </c>
      <c r="P4" s="20" t="s">
        <v>87</v>
      </c>
    </row>
    <row r="5" spans="1:16" ht="38" customHeight="1">
      <c r="A5" s="21" t="s">
        <v>88</v>
      </c>
      <c r="B5" s="22" t="s">
        <v>89</v>
      </c>
      <c r="C5" s="23" t="s">
        <v>90</v>
      </c>
      <c r="D5" s="23" t="s">
        <v>91</v>
      </c>
      <c r="E5" s="24">
        <v>4</v>
      </c>
      <c r="F5" s="24">
        <v>4</v>
      </c>
      <c r="G5" s="25">
        <v>4</v>
      </c>
      <c r="H5" s="25">
        <v>4</v>
      </c>
      <c r="I5" s="26">
        <f>IF(AND(ISNUMBER(G5),ISNUMBER(H5)),G5*H5,"—")</f>
        <v>0</v>
      </c>
      <c r="J5" s="26">
        <f>IF(I5="—","—",IF(I5&gt;=15,"Kritiek",IF(I5&gt;=8,"Hoog",IF(I5&gt;=4,"Middel","Laag"))))</f>
        <v>0</v>
      </c>
      <c r="K5" s="23" t="s">
        <v>92</v>
      </c>
      <c r="L5" s="23" t="s">
        <v>93</v>
      </c>
      <c r="M5" s="27" t="s">
        <v>94</v>
      </c>
      <c r="N5" s="28"/>
      <c r="O5" s="29" t="s">
        <v>95</v>
      </c>
      <c r="P5" s="29" t="s">
        <v>96</v>
      </c>
    </row>
    <row r="6" spans="1:16" ht="38" customHeight="1">
      <c r="A6" s="30" t="s">
        <v>97</v>
      </c>
      <c r="B6" s="31" t="s">
        <v>89</v>
      </c>
      <c r="C6" s="4" t="s">
        <v>98</v>
      </c>
      <c r="D6" s="4" t="s">
        <v>99</v>
      </c>
      <c r="E6" s="24">
        <v>4</v>
      </c>
      <c r="F6" s="24">
        <v>5</v>
      </c>
      <c r="G6" s="25">
        <v>4</v>
      </c>
      <c r="H6" s="25">
        <v>5</v>
      </c>
      <c r="I6" s="26">
        <f>IF(AND(ISNUMBER(G6),ISNUMBER(H6)),G6*H6,"—")</f>
        <v>0</v>
      </c>
      <c r="J6" s="26">
        <f>IF(I6="—","—",IF(I6&gt;=15,"Kritiek",IF(I6&gt;=8,"Hoog",IF(I6&gt;=4,"Middel","Laag"))))</f>
        <v>0</v>
      </c>
      <c r="K6" s="4" t="s">
        <v>100</v>
      </c>
      <c r="L6" s="4" t="s">
        <v>101</v>
      </c>
      <c r="M6" s="32" t="s">
        <v>94</v>
      </c>
      <c r="N6" s="33"/>
      <c r="O6" s="34" t="s">
        <v>95</v>
      </c>
      <c r="P6" s="34" t="s">
        <v>102</v>
      </c>
    </row>
    <row r="7" spans="1:16" ht="38" customHeight="1">
      <c r="A7" s="21" t="s">
        <v>103</v>
      </c>
      <c r="B7" s="22" t="s">
        <v>89</v>
      </c>
      <c r="C7" s="23" t="s">
        <v>104</v>
      </c>
      <c r="D7" s="23" t="s">
        <v>105</v>
      </c>
      <c r="E7" s="24">
        <v>2</v>
      </c>
      <c r="F7" s="24">
        <v>5</v>
      </c>
      <c r="G7" s="25">
        <v>2</v>
      </c>
      <c r="H7" s="25">
        <v>5</v>
      </c>
      <c r="I7" s="26">
        <f>IF(AND(ISNUMBER(G7),ISNUMBER(H7)),G7*H7,"—")</f>
        <v>0</v>
      </c>
      <c r="J7" s="26">
        <f>IF(I7="—","—",IF(I7&gt;=15,"Kritiek",IF(I7&gt;=8,"Hoog",IF(I7&gt;=4,"Middel","Laag"))))</f>
        <v>0</v>
      </c>
      <c r="K7" s="23" t="s">
        <v>106</v>
      </c>
      <c r="L7" s="23" t="s">
        <v>107</v>
      </c>
      <c r="M7" s="27" t="s">
        <v>94</v>
      </c>
      <c r="N7" s="28"/>
      <c r="O7" s="29" t="s">
        <v>108</v>
      </c>
      <c r="P7" s="29" t="s">
        <v>109</v>
      </c>
    </row>
    <row r="8" spans="1:16" ht="38" customHeight="1">
      <c r="A8" s="30" t="s">
        <v>110</v>
      </c>
      <c r="B8" s="31" t="s">
        <v>89</v>
      </c>
      <c r="C8" s="4" t="s">
        <v>111</v>
      </c>
      <c r="D8" s="4" t="s">
        <v>112</v>
      </c>
      <c r="E8" s="24">
        <v>3</v>
      </c>
      <c r="F8" s="24">
        <v>4</v>
      </c>
      <c r="G8" s="25">
        <v>3</v>
      </c>
      <c r="H8" s="25">
        <v>4</v>
      </c>
      <c r="I8" s="26">
        <f>IF(AND(ISNUMBER(G8),ISNUMBER(H8)),G8*H8,"—")</f>
        <v>0</v>
      </c>
      <c r="J8" s="26">
        <f>IF(I8="—","—",IF(I8&gt;=15,"Kritiek",IF(I8&gt;=8,"Hoog",IF(I8&gt;=4,"Middel","Laag"))))</f>
        <v>0</v>
      </c>
      <c r="K8" s="4" t="s">
        <v>113</v>
      </c>
      <c r="L8" s="4" t="s">
        <v>114</v>
      </c>
      <c r="M8" s="32" t="s">
        <v>94</v>
      </c>
      <c r="N8" s="33"/>
      <c r="O8" s="34" t="s">
        <v>115</v>
      </c>
      <c r="P8" s="34" t="s">
        <v>116</v>
      </c>
    </row>
    <row r="9" spans="1:16" ht="38" customHeight="1">
      <c r="A9" s="21" t="s">
        <v>117</v>
      </c>
      <c r="B9" s="22" t="s">
        <v>89</v>
      </c>
      <c r="C9" s="23" t="s">
        <v>118</v>
      </c>
      <c r="D9" s="23" t="s">
        <v>119</v>
      </c>
      <c r="E9" s="24">
        <v>3</v>
      </c>
      <c r="F9" s="24">
        <v>2</v>
      </c>
      <c r="G9" s="25">
        <v>3</v>
      </c>
      <c r="H9" s="25">
        <v>2</v>
      </c>
      <c r="I9" s="26">
        <f>IF(AND(ISNUMBER(G9),ISNUMBER(H9)),G9*H9,"—")</f>
        <v>0</v>
      </c>
      <c r="J9" s="26">
        <f>IF(I9="—","—",IF(I9&gt;=15,"Kritiek",IF(I9&gt;=8,"Hoog",IF(I9&gt;=4,"Middel","Laag"))))</f>
        <v>0</v>
      </c>
      <c r="K9" s="23" t="s">
        <v>120</v>
      </c>
      <c r="L9" s="23" t="s">
        <v>121</v>
      </c>
      <c r="M9" s="27" t="s">
        <v>94</v>
      </c>
      <c r="N9" s="28"/>
      <c r="O9" s="29" t="s">
        <v>122</v>
      </c>
      <c r="P9" s="29" t="s">
        <v>123</v>
      </c>
    </row>
    <row r="10" spans="1:16" ht="38" customHeight="1">
      <c r="A10" s="30" t="s">
        <v>124</v>
      </c>
      <c r="B10" s="31" t="s">
        <v>125</v>
      </c>
      <c r="C10" s="4" t="s">
        <v>126</v>
      </c>
      <c r="D10" s="4" t="s">
        <v>127</v>
      </c>
      <c r="E10" s="24">
        <v>4</v>
      </c>
      <c r="F10" s="24">
        <v>3</v>
      </c>
      <c r="G10" s="25">
        <v>4</v>
      </c>
      <c r="H10" s="25">
        <v>3</v>
      </c>
      <c r="I10" s="26">
        <f>IF(AND(ISNUMBER(G10),ISNUMBER(H10)),G10*H10,"—")</f>
        <v>0</v>
      </c>
      <c r="J10" s="26">
        <f>IF(I10="—","—",IF(I10&gt;=15,"Kritiek",IF(I10&gt;=8,"Hoog",IF(I10&gt;=4,"Middel","Laag"))))</f>
        <v>0</v>
      </c>
      <c r="K10" s="4" t="s">
        <v>128</v>
      </c>
      <c r="L10" s="4" t="s">
        <v>129</v>
      </c>
      <c r="M10" s="32" t="s">
        <v>94</v>
      </c>
      <c r="N10" s="33"/>
      <c r="O10" s="34" t="s">
        <v>130</v>
      </c>
      <c r="P10" s="34" t="s">
        <v>131</v>
      </c>
    </row>
    <row r="11" spans="1:16" ht="38" customHeight="1">
      <c r="A11" s="21" t="s">
        <v>132</v>
      </c>
      <c r="B11" s="22" t="s">
        <v>125</v>
      </c>
      <c r="C11" s="23" t="s">
        <v>133</v>
      </c>
      <c r="D11" s="23" t="s">
        <v>134</v>
      </c>
      <c r="E11" s="24">
        <v>5</v>
      </c>
      <c r="F11" s="24">
        <v>3</v>
      </c>
      <c r="G11" s="25">
        <v>5</v>
      </c>
      <c r="H11" s="25">
        <v>3</v>
      </c>
      <c r="I11" s="26">
        <f>IF(AND(ISNUMBER(G11),ISNUMBER(H11)),G11*H11,"—")</f>
        <v>0</v>
      </c>
      <c r="J11" s="26">
        <f>IF(I11="—","—",IF(I11&gt;=15,"Kritiek",IF(I11&gt;=8,"Hoog",IF(I11&gt;=4,"Middel","Laag"))))</f>
        <v>0</v>
      </c>
      <c r="K11" s="23" t="s">
        <v>135</v>
      </c>
      <c r="L11" s="23" t="s">
        <v>136</v>
      </c>
      <c r="M11" s="27" t="s">
        <v>94</v>
      </c>
      <c r="N11" s="28"/>
      <c r="O11" s="29" t="s">
        <v>137</v>
      </c>
      <c r="P11" s="29" t="s">
        <v>138</v>
      </c>
    </row>
    <row r="12" spans="1:16" ht="38" customHeight="1">
      <c r="A12" s="30" t="s">
        <v>139</v>
      </c>
      <c r="B12" s="31" t="s">
        <v>125</v>
      </c>
      <c r="C12" s="4" t="s">
        <v>140</v>
      </c>
      <c r="D12" s="4" t="s">
        <v>141</v>
      </c>
      <c r="E12" s="24">
        <v>3</v>
      </c>
      <c r="F12" s="24">
        <v>3</v>
      </c>
      <c r="G12" s="25">
        <v>3</v>
      </c>
      <c r="H12" s="25">
        <v>3</v>
      </c>
      <c r="I12" s="26">
        <f>IF(AND(ISNUMBER(G12),ISNUMBER(H12)),G12*H12,"—")</f>
        <v>0</v>
      </c>
      <c r="J12" s="26">
        <f>IF(I12="—","—",IF(I12&gt;=15,"Kritiek",IF(I12&gt;=8,"Hoog",IF(I12&gt;=4,"Middel","Laag"))))</f>
        <v>0</v>
      </c>
      <c r="K12" s="4" t="s">
        <v>142</v>
      </c>
      <c r="L12" s="4" t="s">
        <v>143</v>
      </c>
      <c r="M12" s="32" t="s">
        <v>94</v>
      </c>
      <c r="N12" s="33"/>
      <c r="O12" s="34" t="s">
        <v>144</v>
      </c>
      <c r="P12" s="34" t="s">
        <v>145</v>
      </c>
    </row>
    <row r="13" spans="1:16" ht="38" customHeight="1">
      <c r="A13" s="21" t="s">
        <v>146</v>
      </c>
      <c r="B13" s="22" t="s">
        <v>125</v>
      </c>
      <c r="C13" s="23" t="s">
        <v>147</v>
      </c>
      <c r="D13" s="23" t="s">
        <v>148</v>
      </c>
      <c r="E13" s="24">
        <v>3</v>
      </c>
      <c r="F13" s="24">
        <v>3</v>
      </c>
      <c r="G13" s="25">
        <v>3</v>
      </c>
      <c r="H13" s="25">
        <v>3</v>
      </c>
      <c r="I13" s="26">
        <f>IF(AND(ISNUMBER(G13),ISNUMBER(H13)),G13*H13,"—")</f>
        <v>0</v>
      </c>
      <c r="J13" s="26">
        <f>IF(I13="—","—",IF(I13&gt;=15,"Kritiek",IF(I13&gt;=8,"Hoog",IF(I13&gt;=4,"Middel","Laag"))))</f>
        <v>0</v>
      </c>
      <c r="K13" s="23" t="s">
        <v>149</v>
      </c>
      <c r="L13" s="23" t="s">
        <v>150</v>
      </c>
      <c r="M13" s="27" t="s">
        <v>94</v>
      </c>
      <c r="N13" s="28"/>
      <c r="O13" s="29" t="s">
        <v>137</v>
      </c>
      <c r="P13" s="29" t="s">
        <v>151</v>
      </c>
    </row>
    <row r="14" spans="1:16" ht="38" customHeight="1">
      <c r="A14" s="30" t="s">
        <v>152</v>
      </c>
      <c r="B14" s="31" t="s">
        <v>153</v>
      </c>
      <c r="C14" s="4" t="s">
        <v>154</v>
      </c>
      <c r="D14" s="4" t="s">
        <v>155</v>
      </c>
      <c r="E14" s="24">
        <v>3</v>
      </c>
      <c r="F14" s="24">
        <v>5</v>
      </c>
      <c r="G14" s="25">
        <v>3</v>
      </c>
      <c r="H14" s="25">
        <v>5</v>
      </c>
      <c r="I14" s="26">
        <f>IF(AND(ISNUMBER(G14),ISNUMBER(H14)),G14*H14,"—")</f>
        <v>0</v>
      </c>
      <c r="J14" s="26">
        <f>IF(I14="—","—",IF(I14&gt;=15,"Kritiek",IF(I14&gt;=8,"Hoog",IF(I14&gt;=4,"Middel","Laag"))))</f>
        <v>0</v>
      </c>
      <c r="K14" s="4" t="s">
        <v>156</v>
      </c>
      <c r="L14" s="4" t="s">
        <v>157</v>
      </c>
      <c r="M14" s="32" t="s">
        <v>94</v>
      </c>
      <c r="N14" s="33"/>
      <c r="O14" s="34" t="s">
        <v>158</v>
      </c>
      <c r="P14" s="34" t="s">
        <v>159</v>
      </c>
    </row>
    <row r="15" spans="1:16" ht="38" customHeight="1">
      <c r="A15" s="21" t="s">
        <v>160</v>
      </c>
      <c r="B15" s="22" t="s">
        <v>153</v>
      </c>
      <c r="C15" s="23" t="s">
        <v>161</v>
      </c>
      <c r="D15" s="23" t="s">
        <v>162</v>
      </c>
      <c r="E15" s="24">
        <v>3</v>
      </c>
      <c r="F15" s="24">
        <v>4</v>
      </c>
      <c r="G15" s="25">
        <v>3</v>
      </c>
      <c r="H15" s="25">
        <v>4</v>
      </c>
      <c r="I15" s="26">
        <f>IF(AND(ISNUMBER(G15),ISNUMBER(H15)),G15*H15,"—")</f>
        <v>0</v>
      </c>
      <c r="J15" s="26">
        <f>IF(I15="—","—",IF(I15&gt;=15,"Kritiek",IF(I15&gt;=8,"Hoog",IF(I15&gt;=4,"Middel","Laag"))))</f>
        <v>0</v>
      </c>
      <c r="K15" s="23" t="s">
        <v>163</v>
      </c>
      <c r="L15" s="23" t="s">
        <v>164</v>
      </c>
      <c r="M15" s="27" t="s">
        <v>94</v>
      </c>
      <c r="N15" s="28"/>
      <c r="O15" s="29" t="s">
        <v>165</v>
      </c>
      <c r="P15" s="29" t="s">
        <v>166</v>
      </c>
    </row>
    <row r="16" spans="1:16" ht="38" customHeight="1">
      <c r="A16" s="30" t="s">
        <v>167</v>
      </c>
      <c r="B16" s="31" t="s">
        <v>153</v>
      </c>
      <c r="C16" s="4" t="s">
        <v>168</v>
      </c>
      <c r="D16" s="4" t="s">
        <v>169</v>
      </c>
      <c r="E16" s="24">
        <v>3</v>
      </c>
      <c r="F16" s="24">
        <v>3</v>
      </c>
      <c r="G16" s="25">
        <v>3</v>
      </c>
      <c r="H16" s="25">
        <v>3</v>
      </c>
      <c r="I16" s="26">
        <f>IF(AND(ISNUMBER(G16),ISNUMBER(H16)),G16*H16,"—")</f>
        <v>0</v>
      </c>
      <c r="J16" s="26">
        <f>IF(I16="—","—",IF(I16&gt;=15,"Kritiek",IF(I16&gt;=8,"Hoog",IF(I16&gt;=4,"Middel","Laag"))))</f>
        <v>0</v>
      </c>
      <c r="K16" s="4" t="s">
        <v>170</v>
      </c>
      <c r="L16" s="4" t="s">
        <v>171</v>
      </c>
      <c r="M16" s="32" t="s">
        <v>94</v>
      </c>
      <c r="N16" s="33"/>
      <c r="O16" s="34" t="s">
        <v>158</v>
      </c>
      <c r="P16" s="34" t="s">
        <v>172</v>
      </c>
    </row>
    <row r="17" spans="1:16" ht="38" customHeight="1">
      <c r="A17" s="21" t="s">
        <v>173</v>
      </c>
      <c r="B17" s="22" t="s">
        <v>153</v>
      </c>
      <c r="C17" s="23" t="s">
        <v>174</v>
      </c>
      <c r="D17" s="23" t="s">
        <v>175</v>
      </c>
      <c r="E17" s="24">
        <v>3</v>
      </c>
      <c r="F17" s="24">
        <v>4</v>
      </c>
      <c r="G17" s="25">
        <v>3</v>
      </c>
      <c r="H17" s="25">
        <v>4</v>
      </c>
      <c r="I17" s="26">
        <f>IF(AND(ISNUMBER(G17),ISNUMBER(H17)),G17*H17,"—")</f>
        <v>0</v>
      </c>
      <c r="J17" s="26">
        <f>IF(I17="—","—",IF(I17&gt;=15,"Kritiek",IF(I17&gt;=8,"Hoog",IF(I17&gt;=4,"Middel","Laag"))))</f>
        <v>0</v>
      </c>
      <c r="K17" s="23" t="s">
        <v>176</v>
      </c>
      <c r="L17" s="23" t="s">
        <v>177</v>
      </c>
      <c r="M17" s="27" t="s">
        <v>94</v>
      </c>
      <c r="N17" s="28"/>
      <c r="O17" s="29" t="s">
        <v>165</v>
      </c>
      <c r="P17" s="29" t="s">
        <v>178</v>
      </c>
    </row>
    <row r="18" spans="1:16" ht="38" customHeight="1">
      <c r="A18" s="30" t="s">
        <v>179</v>
      </c>
      <c r="B18" s="31" t="s">
        <v>180</v>
      </c>
      <c r="C18" s="4" t="s">
        <v>181</v>
      </c>
      <c r="D18" s="4" t="s">
        <v>182</v>
      </c>
      <c r="E18" s="24">
        <v>5</v>
      </c>
      <c r="F18" s="24">
        <v>3</v>
      </c>
      <c r="G18" s="25">
        <v>5</v>
      </c>
      <c r="H18" s="25">
        <v>3</v>
      </c>
      <c r="I18" s="26">
        <f>IF(AND(ISNUMBER(G18),ISNUMBER(H18)),G18*H18,"—")</f>
        <v>0</v>
      </c>
      <c r="J18" s="26">
        <f>IF(I18="—","—",IF(I18&gt;=15,"Kritiek",IF(I18&gt;=8,"Hoog",IF(I18&gt;=4,"Middel","Laag"))))</f>
        <v>0</v>
      </c>
      <c r="K18" s="4" t="s">
        <v>183</v>
      </c>
      <c r="L18" s="4" t="s">
        <v>184</v>
      </c>
      <c r="M18" s="32" t="s">
        <v>94</v>
      </c>
      <c r="N18" s="33"/>
      <c r="O18" s="34" t="s">
        <v>185</v>
      </c>
      <c r="P18" s="34" t="s">
        <v>186</v>
      </c>
    </row>
    <row r="19" spans="1:16" ht="38" customHeight="1">
      <c r="A19" s="21" t="s">
        <v>187</v>
      </c>
      <c r="B19" s="22" t="s">
        <v>180</v>
      </c>
      <c r="C19" s="23" t="s">
        <v>188</v>
      </c>
      <c r="D19" s="23" t="s">
        <v>189</v>
      </c>
      <c r="E19" s="24">
        <v>4</v>
      </c>
      <c r="F19" s="24">
        <v>4</v>
      </c>
      <c r="G19" s="25">
        <v>4</v>
      </c>
      <c r="H19" s="25">
        <v>4</v>
      </c>
      <c r="I19" s="26">
        <f>IF(AND(ISNUMBER(G19),ISNUMBER(H19)),G19*H19,"—")</f>
        <v>0</v>
      </c>
      <c r="J19" s="26">
        <f>IF(I19="—","—",IF(I19&gt;=15,"Kritiek",IF(I19&gt;=8,"Hoog",IF(I19&gt;=4,"Middel","Laag"))))</f>
        <v>0</v>
      </c>
      <c r="K19" s="23" t="s">
        <v>190</v>
      </c>
      <c r="L19" s="23" t="s">
        <v>191</v>
      </c>
      <c r="M19" s="27" t="s">
        <v>94</v>
      </c>
      <c r="N19" s="28"/>
      <c r="O19" s="29" t="s">
        <v>192</v>
      </c>
      <c r="P19" s="29" t="s">
        <v>193</v>
      </c>
    </row>
    <row r="20" spans="1:16" ht="38" customHeight="1">
      <c r="A20" s="30" t="s">
        <v>194</v>
      </c>
      <c r="B20" s="31" t="s">
        <v>180</v>
      </c>
      <c r="C20" s="4" t="s">
        <v>195</v>
      </c>
      <c r="D20" s="4" t="s">
        <v>196</v>
      </c>
      <c r="E20" s="24">
        <v>3</v>
      </c>
      <c r="F20" s="24">
        <v>5</v>
      </c>
      <c r="G20" s="25">
        <v>3</v>
      </c>
      <c r="H20" s="25">
        <v>5</v>
      </c>
      <c r="I20" s="26">
        <f>IF(AND(ISNUMBER(G20),ISNUMBER(H20)),G20*H20,"—")</f>
        <v>0</v>
      </c>
      <c r="J20" s="26">
        <f>IF(I20="—","—",IF(I20&gt;=15,"Kritiek",IF(I20&gt;=8,"Hoog",IF(I20&gt;=4,"Middel","Laag"))))</f>
        <v>0</v>
      </c>
      <c r="K20" s="4" t="s">
        <v>197</v>
      </c>
      <c r="L20" s="4" t="s">
        <v>198</v>
      </c>
      <c r="M20" s="32" t="s">
        <v>94</v>
      </c>
      <c r="N20" s="33"/>
      <c r="O20" s="34" t="s">
        <v>199</v>
      </c>
      <c r="P20" s="34" t="s">
        <v>200</v>
      </c>
    </row>
    <row r="21" spans="1:16" ht="38" customHeight="1">
      <c r="A21" s="21" t="s">
        <v>201</v>
      </c>
      <c r="B21" s="22" t="s">
        <v>180</v>
      </c>
      <c r="C21" s="23" t="s">
        <v>202</v>
      </c>
      <c r="D21" s="23" t="s">
        <v>203</v>
      </c>
      <c r="E21" s="24">
        <v>4</v>
      </c>
      <c r="F21" s="24">
        <v>4</v>
      </c>
      <c r="G21" s="25">
        <v>4</v>
      </c>
      <c r="H21" s="25">
        <v>4</v>
      </c>
      <c r="I21" s="26">
        <f>IF(AND(ISNUMBER(G21),ISNUMBER(H21)),G21*H21,"—")</f>
        <v>0</v>
      </c>
      <c r="J21" s="26">
        <f>IF(I21="—","—",IF(I21&gt;=15,"Kritiek",IF(I21&gt;=8,"Hoog",IF(I21&gt;=4,"Middel","Laag"))))</f>
        <v>0</v>
      </c>
      <c r="K21" s="23" t="s">
        <v>204</v>
      </c>
      <c r="L21" s="23" t="s">
        <v>205</v>
      </c>
      <c r="M21" s="27" t="s">
        <v>94</v>
      </c>
      <c r="N21" s="28"/>
      <c r="O21" s="29" t="s">
        <v>206</v>
      </c>
      <c r="P21" s="29" t="s">
        <v>207</v>
      </c>
    </row>
    <row r="22" spans="1:16" ht="38" customHeight="1">
      <c r="A22" s="30" t="s">
        <v>208</v>
      </c>
      <c r="B22" s="31" t="s">
        <v>180</v>
      </c>
      <c r="C22" s="4" t="s">
        <v>209</v>
      </c>
      <c r="D22" s="4" t="s">
        <v>210</v>
      </c>
      <c r="E22" s="24">
        <v>3</v>
      </c>
      <c r="F22" s="24">
        <v>4</v>
      </c>
      <c r="G22" s="25">
        <v>3</v>
      </c>
      <c r="H22" s="25">
        <v>4</v>
      </c>
      <c r="I22" s="26">
        <f>IF(AND(ISNUMBER(G22),ISNUMBER(H22)),G22*H22,"—")</f>
        <v>0</v>
      </c>
      <c r="J22" s="26">
        <f>IF(I22="—","—",IF(I22&gt;=15,"Kritiek",IF(I22&gt;=8,"Hoog",IF(I22&gt;=4,"Middel","Laag"))))</f>
        <v>0</v>
      </c>
      <c r="K22" s="4" t="s">
        <v>211</v>
      </c>
      <c r="L22" s="4" t="s">
        <v>212</v>
      </c>
      <c r="M22" s="32" t="s">
        <v>94</v>
      </c>
      <c r="N22" s="33"/>
      <c r="O22" s="34" t="s">
        <v>206</v>
      </c>
      <c r="P22" s="34" t="s">
        <v>213</v>
      </c>
    </row>
    <row r="23" spans="1:16" ht="38" customHeight="1">
      <c r="A23" s="21" t="s">
        <v>214</v>
      </c>
      <c r="B23" s="22" t="s">
        <v>215</v>
      </c>
      <c r="C23" s="23" t="s">
        <v>216</v>
      </c>
      <c r="D23" s="23" t="s">
        <v>217</v>
      </c>
      <c r="E23" s="24">
        <v>3</v>
      </c>
      <c r="F23" s="24">
        <v>3</v>
      </c>
      <c r="G23" s="25">
        <v>3</v>
      </c>
      <c r="H23" s="25">
        <v>3</v>
      </c>
      <c r="I23" s="26">
        <f>IF(AND(ISNUMBER(G23),ISNUMBER(H23)),G23*H23,"—")</f>
        <v>0</v>
      </c>
      <c r="J23" s="26">
        <f>IF(I23="—","—",IF(I23&gt;=15,"Kritiek",IF(I23&gt;=8,"Hoog",IF(I23&gt;=4,"Middel","Laag"))))</f>
        <v>0</v>
      </c>
      <c r="K23" s="23" t="s">
        <v>218</v>
      </c>
      <c r="L23" s="23" t="s">
        <v>219</v>
      </c>
      <c r="M23" s="27" t="s">
        <v>94</v>
      </c>
      <c r="N23" s="28"/>
      <c r="O23" s="29" t="s">
        <v>122</v>
      </c>
      <c r="P23" s="29" t="s">
        <v>220</v>
      </c>
    </row>
    <row r="24" spans="1:16" ht="38" customHeight="1">
      <c r="A24" s="30" t="s">
        <v>221</v>
      </c>
      <c r="B24" s="31" t="s">
        <v>215</v>
      </c>
      <c r="C24" s="4" t="s">
        <v>222</v>
      </c>
      <c r="D24" s="4" t="s">
        <v>223</v>
      </c>
      <c r="E24" s="24">
        <v>3</v>
      </c>
      <c r="F24" s="24">
        <v>3</v>
      </c>
      <c r="G24" s="25">
        <v>3</v>
      </c>
      <c r="H24" s="25">
        <v>3</v>
      </c>
      <c r="I24" s="26">
        <f>IF(AND(ISNUMBER(G24),ISNUMBER(H24)),G24*H24,"—")</f>
        <v>0</v>
      </c>
      <c r="J24" s="26">
        <f>IF(I24="—","—",IF(I24&gt;=15,"Kritiek",IF(I24&gt;=8,"Hoog",IF(I24&gt;=4,"Middel","Laag"))))</f>
        <v>0</v>
      </c>
      <c r="K24" s="4" t="s">
        <v>224</v>
      </c>
      <c r="L24" s="4" t="s">
        <v>225</v>
      </c>
      <c r="M24" s="32" t="s">
        <v>94</v>
      </c>
      <c r="N24" s="33"/>
      <c r="O24" s="34" t="s">
        <v>122</v>
      </c>
      <c r="P24" s="34" t="s">
        <v>226</v>
      </c>
    </row>
    <row r="25" spans="1:16" ht="38" customHeight="1">
      <c r="A25" s="21" t="s">
        <v>227</v>
      </c>
      <c r="B25" s="22" t="s">
        <v>215</v>
      </c>
      <c r="C25" s="23" t="s">
        <v>228</v>
      </c>
      <c r="D25" s="23" t="s">
        <v>229</v>
      </c>
      <c r="E25" s="24">
        <v>3</v>
      </c>
      <c r="F25" s="24">
        <v>3</v>
      </c>
      <c r="G25" s="25">
        <v>3</v>
      </c>
      <c r="H25" s="25">
        <v>3</v>
      </c>
      <c r="I25" s="26">
        <f>IF(AND(ISNUMBER(G25),ISNUMBER(H25)),G25*H25,"—")</f>
        <v>0</v>
      </c>
      <c r="J25" s="26">
        <f>IF(I25="—","—",IF(I25&gt;=15,"Kritiek",IF(I25&gt;=8,"Hoog",IF(I25&gt;=4,"Middel","Laag"))))</f>
        <v>0</v>
      </c>
      <c r="K25" s="23" t="s">
        <v>230</v>
      </c>
      <c r="L25" s="23" t="s">
        <v>231</v>
      </c>
      <c r="M25" s="27" t="s">
        <v>94</v>
      </c>
      <c r="N25" s="28"/>
      <c r="O25" s="29" t="s">
        <v>232</v>
      </c>
      <c r="P25" s="29" t="s">
        <v>233</v>
      </c>
    </row>
    <row r="26" spans="1:16" ht="38" customHeight="1">
      <c r="A26" s="30" t="s">
        <v>234</v>
      </c>
      <c r="B26" s="31" t="s">
        <v>215</v>
      </c>
      <c r="C26" s="4" t="s">
        <v>235</v>
      </c>
      <c r="D26" s="4" t="s">
        <v>236</v>
      </c>
      <c r="E26" s="24">
        <v>3</v>
      </c>
      <c r="F26" s="24">
        <v>3</v>
      </c>
      <c r="G26" s="25">
        <v>3</v>
      </c>
      <c r="H26" s="25">
        <v>3</v>
      </c>
      <c r="I26" s="26">
        <f>IF(AND(ISNUMBER(G26),ISNUMBER(H26)),G26*H26,"—")</f>
        <v>0</v>
      </c>
      <c r="J26" s="26">
        <f>IF(I26="—","—",IF(I26&gt;=15,"Kritiek",IF(I26&gt;=8,"Hoog",IF(I26&gt;=4,"Middel","Laag"))))</f>
        <v>0</v>
      </c>
      <c r="K26" s="4" t="s">
        <v>237</v>
      </c>
      <c r="L26" s="4" t="s">
        <v>238</v>
      </c>
      <c r="M26" s="32" t="s">
        <v>94</v>
      </c>
      <c r="N26" s="33"/>
      <c r="O26" s="34" t="s">
        <v>165</v>
      </c>
      <c r="P26" s="34" t="s">
        <v>178</v>
      </c>
    </row>
    <row r="27" spans="1:16" ht="38" customHeight="1">
      <c r="A27" s="21" t="s">
        <v>239</v>
      </c>
      <c r="B27" s="22" t="s">
        <v>240</v>
      </c>
      <c r="C27" s="23" t="s">
        <v>241</v>
      </c>
      <c r="D27" s="23" t="s">
        <v>242</v>
      </c>
      <c r="E27" s="24">
        <v>3</v>
      </c>
      <c r="F27" s="24">
        <v>3</v>
      </c>
      <c r="G27" s="25">
        <v>3</v>
      </c>
      <c r="H27" s="25">
        <v>3</v>
      </c>
      <c r="I27" s="26">
        <f>IF(AND(ISNUMBER(G27),ISNUMBER(H27)),G27*H27,"—")</f>
        <v>0</v>
      </c>
      <c r="J27" s="26">
        <f>IF(I27="—","—",IF(I27&gt;=15,"Kritiek",IF(I27&gt;=8,"Hoog",IF(I27&gt;=4,"Middel","Laag"))))</f>
        <v>0</v>
      </c>
      <c r="K27" s="23" t="s">
        <v>243</v>
      </c>
      <c r="L27" s="23" t="s">
        <v>244</v>
      </c>
      <c r="M27" s="27" t="s">
        <v>94</v>
      </c>
      <c r="N27" s="28"/>
      <c r="O27" s="29" t="s">
        <v>95</v>
      </c>
      <c r="P27" s="29" t="s">
        <v>245</v>
      </c>
    </row>
    <row r="28" spans="1:16" ht="38" customHeight="1">
      <c r="A28" s="30" t="s">
        <v>246</v>
      </c>
      <c r="B28" s="31" t="s">
        <v>240</v>
      </c>
      <c r="C28" s="4" t="s">
        <v>247</v>
      </c>
      <c r="D28" s="4" t="s">
        <v>248</v>
      </c>
      <c r="E28" s="24">
        <v>2</v>
      </c>
      <c r="F28" s="24">
        <v>3</v>
      </c>
      <c r="G28" s="25">
        <v>2</v>
      </c>
      <c r="H28" s="25">
        <v>3</v>
      </c>
      <c r="I28" s="26">
        <f>IF(AND(ISNUMBER(G28),ISNUMBER(H28)),G28*H28,"—")</f>
        <v>0</v>
      </c>
      <c r="J28" s="26">
        <f>IF(I28="—","—",IF(I28&gt;=15,"Kritiek",IF(I28&gt;=8,"Hoog",IF(I28&gt;=4,"Middel","Laag"))))</f>
        <v>0</v>
      </c>
      <c r="K28" s="4" t="s">
        <v>249</v>
      </c>
      <c r="L28" s="4" t="s">
        <v>250</v>
      </c>
      <c r="M28" s="32" t="s">
        <v>94</v>
      </c>
      <c r="N28" s="33"/>
      <c r="O28" s="34" t="s">
        <v>122</v>
      </c>
      <c r="P28" s="34" t="s">
        <v>251</v>
      </c>
    </row>
    <row r="29" spans="1:16" ht="38" customHeight="1">
      <c r="A29" s="21" t="s">
        <v>252</v>
      </c>
      <c r="B29" s="22" t="s">
        <v>240</v>
      </c>
      <c r="C29" s="23" t="s">
        <v>253</v>
      </c>
      <c r="D29" s="23" t="s">
        <v>254</v>
      </c>
      <c r="E29" s="24">
        <v>2</v>
      </c>
      <c r="F29" s="24">
        <v>3</v>
      </c>
      <c r="G29" s="25">
        <v>2</v>
      </c>
      <c r="H29" s="25">
        <v>3</v>
      </c>
      <c r="I29" s="26">
        <f>IF(AND(ISNUMBER(G29),ISNUMBER(H29)),G29*H29,"—")</f>
        <v>0</v>
      </c>
      <c r="J29" s="26">
        <f>IF(I29="—","—",IF(I29&gt;=15,"Kritiek",IF(I29&gt;=8,"Hoog",IF(I29&gt;=4,"Middel","Laag"))))</f>
        <v>0</v>
      </c>
      <c r="K29" s="23" t="s">
        <v>255</v>
      </c>
      <c r="L29" s="23" t="s">
        <v>256</v>
      </c>
      <c r="M29" s="27" t="s">
        <v>94</v>
      </c>
      <c r="N29" s="28"/>
      <c r="O29" s="29" t="s">
        <v>122</v>
      </c>
      <c r="P29" s="29" t="s">
        <v>257</v>
      </c>
    </row>
    <row r="30" spans="1:16" ht="38" customHeight="1">
      <c r="A30" s="30" t="s">
        <v>258</v>
      </c>
      <c r="B30" s="31" t="s">
        <v>259</v>
      </c>
      <c r="C30" s="4" t="s">
        <v>260</v>
      </c>
      <c r="D30" s="4" t="s">
        <v>261</v>
      </c>
      <c r="E30" s="24">
        <v>2</v>
      </c>
      <c r="F30" s="24">
        <v>5</v>
      </c>
      <c r="G30" s="25">
        <v>2</v>
      </c>
      <c r="H30" s="25">
        <v>5</v>
      </c>
      <c r="I30" s="26">
        <f>IF(AND(ISNUMBER(G30),ISNUMBER(H30)),G30*H30,"—")</f>
        <v>0</v>
      </c>
      <c r="J30" s="26">
        <f>IF(I30="—","—",IF(I30&gt;=15,"Kritiek",IF(I30&gt;=8,"Hoog",IF(I30&gt;=4,"Middel","Laag"))))</f>
        <v>0</v>
      </c>
      <c r="K30" s="4" t="s">
        <v>262</v>
      </c>
      <c r="L30" s="4" t="s">
        <v>263</v>
      </c>
      <c r="M30" s="32" t="s">
        <v>94</v>
      </c>
      <c r="N30" s="33"/>
      <c r="O30" s="34" t="s">
        <v>264</v>
      </c>
      <c r="P30" s="34" t="s">
        <v>265</v>
      </c>
    </row>
    <row r="31" spans="1:16" ht="38" customHeight="1">
      <c r="A31" s="21" t="s">
        <v>266</v>
      </c>
      <c r="B31" s="22" t="s">
        <v>259</v>
      </c>
      <c r="C31" s="23" t="s">
        <v>267</v>
      </c>
      <c r="D31" s="23" t="s">
        <v>268</v>
      </c>
      <c r="E31" s="24">
        <v>5</v>
      </c>
      <c r="F31" s="24">
        <v>3</v>
      </c>
      <c r="G31" s="25">
        <v>5</v>
      </c>
      <c r="H31" s="25">
        <v>3</v>
      </c>
      <c r="I31" s="26">
        <f>IF(AND(ISNUMBER(G31),ISNUMBER(H31)),G31*H31,"—")</f>
        <v>0</v>
      </c>
      <c r="J31" s="26">
        <f>IF(I31="—","—",IF(I31&gt;=15,"Kritiek",IF(I31&gt;=8,"Hoog",IF(I31&gt;=4,"Middel","Laag"))))</f>
        <v>0</v>
      </c>
      <c r="K31" s="23" t="s">
        <v>269</v>
      </c>
      <c r="L31" s="23" t="s">
        <v>270</v>
      </c>
      <c r="M31" s="27" t="s">
        <v>94</v>
      </c>
      <c r="N31" s="28"/>
      <c r="O31" s="29" t="s">
        <v>130</v>
      </c>
      <c r="P31" s="29" t="s">
        <v>271</v>
      </c>
    </row>
    <row r="32" spans="1:16" ht="38" customHeight="1">
      <c r="A32" s="30" t="s">
        <v>272</v>
      </c>
      <c r="B32" s="31" t="s">
        <v>259</v>
      </c>
      <c r="C32" s="4" t="s">
        <v>273</v>
      </c>
      <c r="D32" s="4" t="s">
        <v>274</v>
      </c>
      <c r="E32" s="24">
        <v>3</v>
      </c>
      <c r="F32" s="24">
        <v>3</v>
      </c>
      <c r="G32" s="25">
        <v>3</v>
      </c>
      <c r="H32" s="25">
        <v>3</v>
      </c>
      <c r="I32" s="26">
        <f>IF(AND(ISNUMBER(G32),ISNUMBER(H32)),G32*H32,"—")</f>
        <v>0</v>
      </c>
      <c r="J32" s="26">
        <f>IF(I32="—","—",IF(I32&gt;=15,"Kritiek",IF(I32&gt;=8,"Hoog",IF(I32&gt;=4,"Middel","Laag"))))</f>
        <v>0</v>
      </c>
      <c r="K32" s="4" t="s">
        <v>275</v>
      </c>
      <c r="L32" s="4" t="s">
        <v>276</v>
      </c>
      <c r="M32" s="32" t="s">
        <v>94</v>
      </c>
      <c r="N32" s="33"/>
      <c r="O32" s="34" t="s">
        <v>264</v>
      </c>
      <c r="P32" s="34" t="s">
        <v>277</v>
      </c>
    </row>
    <row r="33" spans="1:16" ht="38" customHeight="1">
      <c r="A33" s="21" t="s">
        <v>278</v>
      </c>
      <c r="B33" s="22" t="s">
        <v>279</v>
      </c>
      <c r="C33" s="23" t="s">
        <v>280</v>
      </c>
      <c r="D33" s="23" t="s">
        <v>281</v>
      </c>
      <c r="E33" s="24">
        <v>4</v>
      </c>
      <c r="F33" s="24">
        <v>5</v>
      </c>
      <c r="G33" s="25">
        <v>4</v>
      </c>
      <c r="H33" s="25">
        <v>5</v>
      </c>
      <c r="I33" s="26">
        <f>IF(AND(ISNUMBER(G33),ISNUMBER(H33)),G33*H33,"—")</f>
        <v>0</v>
      </c>
      <c r="J33" s="26">
        <f>IF(I33="—","—",IF(I33&gt;=15,"Kritiek",IF(I33&gt;=8,"Hoog",IF(I33&gt;=4,"Middel","Laag"))))</f>
        <v>0</v>
      </c>
      <c r="K33" s="23" t="s">
        <v>282</v>
      </c>
      <c r="L33" s="23" t="s">
        <v>283</v>
      </c>
      <c r="M33" s="27" t="s">
        <v>94</v>
      </c>
      <c r="N33" s="28"/>
      <c r="O33" s="29" t="s">
        <v>95</v>
      </c>
      <c r="P33" s="29" t="s">
        <v>102</v>
      </c>
    </row>
    <row r="34" spans="1:16" ht="38" customHeight="1">
      <c r="A34" s="30" t="s">
        <v>284</v>
      </c>
      <c r="B34" s="31" t="s">
        <v>279</v>
      </c>
      <c r="C34" s="4" t="s">
        <v>285</v>
      </c>
      <c r="D34" s="4" t="s">
        <v>286</v>
      </c>
      <c r="E34" s="24">
        <v>4</v>
      </c>
      <c r="F34" s="24">
        <v>4</v>
      </c>
      <c r="G34" s="25">
        <v>4</v>
      </c>
      <c r="H34" s="25">
        <v>4</v>
      </c>
      <c r="I34" s="26">
        <f>IF(AND(ISNUMBER(G34),ISNUMBER(H34)),G34*H34,"—")</f>
        <v>0</v>
      </c>
      <c r="J34" s="26">
        <f>IF(I34="—","—",IF(I34&gt;=15,"Kritiek",IF(I34&gt;=8,"Hoog",IF(I34&gt;=4,"Middel","Laag"))))</f>
        <v>0</v>
      </c>
      <c r="K34" s="4" t="s">
        <v>287</v>
      </c>
      <c r="L34" s="4" t="s">
        <v>288</v>
      </c>
      <c r="M34" s="32" t="s">
        <v>94</v>
      </c>
      <c r="N34" s="33"/>
      <c r="O34" s="34" t="s">
        <v>122</v>
      </c>
      <c r="P34" s="34" t="s">
        <v>289</v>
      </c>
    </row>
    <row r="35" spans="1:16" ht="38" customHeight="1">
      <c r="A35" s="21" t="s">
        <v>290</v>
      </c>
      <c r="B35" s="22" t="s">
        <v>279</v>
      </c>
      <c r="C35" s="23" t="s">
        <v>291</v>
      </c>
      <c r="D35" s="23" t="s">
        <v>292</v>
      </c>
      <c r="E35" s="24">
        <v>5</v>
      </c>
      <c r="F35" s="24">
        <v>4</v>
      </c>
      <c r="G35" s="25">
        <v>5</v>
      </c>
      <c r="H35" s="25">
        <v>4</v>
      </c>
      <c r="I35" s="26">
        <f>IF(AND(ISNUMBER(G35),ISNUMBER(H35)),G35*H35,"—")</f>
        <v>0</v>
      </c>
      <c r="J35" s="26">
        <f>IF(I35="—","—",IF(I35&gt;=15,"Kritiek",IF(I35&gt;=8,"Hoog",IF(I35&gt;=4,"Middel","Laag"))))</f>
        <v>0</v>
      </c>
      <c r="K35" s="23" t="s">
        <v>293</v>
      </c>
      <c r="L35" s="23" t="s">
        <v>294</v>
      </c>
      <c r="M35" s="27" t="s">
        <v>94</v>
      </c>
      <c r="N35" s="28"/>
      <c r="O35" s="29" t="s">
        <v>122</v>
      </c>
      <c r="P35" s="29" t="s">
        <v>295</v>
      </c>
    </row>
    <row r="36" spans="1:16" ht="38" customHeight="1">
      <c r="A36" s="30" t="s">
        <v>296</v>
      </c>
      <c r="B36" s="31" t="s">
        <v>279</v>
      </c>
      <c r="C36" s="4" t="s">
        <v>297</v>
      </c>
      <c r="D36" s="4" t="s">
        <v>298</v>
      </c>
      <c r="E36" s="24">
        <v>3</v>
      </c>
      <c r="F36" s="24">
        <v>5</v>
      </c>
      <c r="G36" s="25">
        <v>3</v>
      </c>
      <c r="H36" s="25">
        <v>5</v>
      </c>
      <c r="I36" s="26">
        <f>IF(AND(ISNUMBER(G36),ISNUMBER(H36)),G36*H36,"—")</f>
        <v>0</v>
      </c>
      <c r="J36" s="26">
        <f>IF(I36="—","—",IF(I36&gt;=15,"Kritiek",IF(I36&gt;=8,"Hoog",IF(I36&gt;=4,"Middel","Laag"))))</f>
        <v>0</v>
      </c>
      <c r="K36" s="4" t="s">
        <v>299</v>
      </c>
      <c r="L36" s="4" t="s">
        <v>300</v>
      </c>
      <c r="M36" s="32" t="s">
        <v>94</v>
      </c>
      <c r="N36" s="33"/>
      <c r="O36" s="34" t="s">
        <v>95</v>
      </c>
      <c r="P36" s="34" t="s">
        <v>301</v>
      </c>
    </row>
    <row r="37" spans="1:16" ht="38" customHeight="1">
      <c r="A37" s="21" t="s">
        <v>302</v>
      </c>
      <c r="B37" s="22" t="s">
        <v>303</v>
      </c>
      <c r="C37" s="23" t="s">
        <v>304</v>
      </c>
      <c r="D37" s="23" t="s">
        <v>305</v>
      </c>
      <c r="E37" s="24">
        <v>3</v>
      </c>
      <c r="F37" s="24">
        <v>4</v>
      </c>
      <c r="G37" s="25">
        <v>3</v>
      </c>
      <c r="H37" s="25">
        <v>4</v>
      </c>
      <c r="I37" s="26">
        <f>IF(AND(ISNUMBER(G37),ISNUMBER(H37)),G37*H37,"—")</f>
        <v>0</v>
      </c>
      <c r="J37" s="26">
        <f>IF(I37="—","—",IF(I37&gt;=15,"Kritiek",IF(I37&gt;=8,"Hoog",IF(I37&gt;=4,"Middel","Laag"))))</f>
        <v>0</v>
      </c>
      <c r="K37" s="23" t="s">
        <v>306</v>
      </c>
      <c r="L37" s="23" t="s">
        <v>307</v>
      </c>
      <c r="M37" s="27" t="s">
        <v>94</v>
      </c>
      <c r="N37" s="28"/>
      <c r="O37" s="29" t="s">
        <v>308</v>
      </c>
      <c r="P37" s="29" t="s">
        <v>309</v>
      </c>
    </row>
    <row r="38" spans="1:16" ht="38" customHeight="1">
      <c r="A38" s="30" t="s">
        <v>310</v>
      </c>
      <c r="B38" s="31" t="s">
        <v>303</v>
      </c>
      <c r="C38" s="4" t="s">
        <v>311</v>
      </c>
      <c r="D38" s="4" t="s">
        <v>312</v>
      </c>
      <c r="E38" s="24">
        <v>3</v>
      </c>
      <c r="F38" s="24">
        <v>4</v>
      </c>
      <c r="G38" s="25">
        <v>3</v>
      </c>
      <c r="H38" s="25">
        <v>4</v>
      </c>
      <c r="I38" s="26">
        <f>IF(AND(ISNUMBER(G38),ISNUMBER(H38)),G38*H38,"—")</f>
        <v>0</v>
      </c>
      <c r="J38" s="26">
        <f>IF(I38="—","—",IF(I38&gt;=15,"Kritiek",IF(I38&gt;=8,"Hoog",IF(I38&gt;=4,"Middel","Laag"))))</f>
        <v>0</v>
      </c>
      <c r="K38" s="4" t="s">
        <v>313</v>
      </c>
      <c r="L38" s="4" t="s">
        <v>314</v>
      </c>
      <c r="M38" s="32" t="s">
        <v>94</v>
      </c>
      <c r="N38" s="33"/>
      <c r="O38" s="34" t="s">
        <v>308</v>
      </c>
      <c r="P38" s="34" t="s">
        <v>315</v>
      </c>
    </row>
    <row r="39" spans="1:16" ht="38" customHeight="1">
      <c r="A39" s="21" t="s">
        <v>316</v>
      </c>
      <c r="B39" s="22" t="s">
        <v>303</v>
      </c>
      <c r="C39" s="23" t="s">
        <v>317</v>
      </c>
      <c r="D39" s="23" t="s">
        <v>318</v>
      </c>
      <c r="E39" s="24">
        <v>2</v>
      </c>
      <c r="F39" s="24">
        <v>3</v>
      </c>
      <c r="G39" s="25">
        <v>2</v>
      </c>
      <c r="H39" s="25">
        <v>3</v>
      </c>
      <c r="I39" s="26">
        <f>IF(AND(ISNUMBER(G39),ISNUMBER(H39)),G39*H39,"—")</f>
        <v>0</v>
      </c>
      <c r="J39" s="26">
        <f>IF(I39="—","—",IF(I39&gt;=15,"Kritiek",IF(I39&gt;=8,"Hoog",IF(I39&gt;=4,"Middel","Laag"))))</f>
        <v>0</v>
      </c>
      <c r="K39" s="23" t="s">
        <v>319</v>
      </c>
      <c r="L39" s="23" t="s">
        <v>320</v>
      </c>
      <c r="M39" s="27" t="s">
        <v>94</v>
      </c>
      <c r="N39" s="28"/>
      <c r="O39" s="29" t="s">
        <v>321</v>
      </c>
      <c r="P39" s="29" t="s">
        <v>322</v>
      </c>
    </row>
    <row r="40" spans="1:16" ht="38" customHeight="1">
      <c r="A40" s="30" t="s">
        <v>323</v>
      </c>
      <c r="B40" s="31" t="s">
        <v>303</v>
      </c>
      <c r="C40" s="4" t="s">
        <v>324</v>
      </c>
      <c r="D40" s="4" t="s">
        <v>325</v>
      </c>
      <c r="E40" s="24">
        <v>2</v>
      </c>
      <c r="F40" s="24">
        <v>4</v>
      </c>
      <c r="G40" s="25">
        <v>2</v>
      </c>
      <c r="H40" s="25">
        <v>4</v>
      </c>
      <c r="I40" s="26">
        <f>IF(AND(ISNUMBER(G40),ISNUMBER(H40)),G40*H40,"—")</f>
        <v>0</v>
      </c>
      <c r="J40" s="26">
        <f>IF(I40="—","—",IF(I40&gt;=15,"Kritiek",IF(I40&gt;=8,"Hoog",IF(I40&gt;=4,"Middel","Laag"))))</f>
        <v>0</v>
      </c>
      <c r="K40" s="4" t="s">
        <v>326</v>
      </c>
      <c r="L40" s="4" t="s">
        <v>327</v>
      </c>
      <c r="M40" s="32" t="s">
        <v>94</v>
      </c>
      <c r="N40" s="33"/>
      <c r="O40" s="34" t="s">
        <v>308</v>
      </c>
      <c r="P40" s="34" t="s">
        <v>328</v>
      </c>
    </row>
    <row r="41" spans="1:16" ht="38" customHeight="1">
      <c r="A41" s="21" t="s">
        <v>329</v>
      </c>
      <c r="B41" s="22" t="s">
        <v>330</v>
      </c>
      <c r="C41" s="23" t="s">
        <v>331</v>
      </c>
      <c r="D41" s="23" t="s">
        <v>332</v>
      </c>
      <c r="E41" s="24">
        <v>5</v>
      </c>
      <c r="F41" s="24">
        <v>3</v>
      </c>
      <c r="G41" s="25">
        <v>5</v>
      </c>
      <c r="H41" s="25">
        <v>3</v>
      </c>
      <c r="I41" s="26">
        <f>IF(AND(ISNUMBER(G41),ISNUMBER(H41)),G41*H41,"—")</f>
        <v>0</v>
      </c>
      <c r="J41" s="26">
        <f>IF(I41="—","—",IF(I41&gt;=15,"Kritiek",IF(I41&gt;=8,"Hoog",IF(I41&gt;=4,"Middel","Laag"))))</f>
        <v>0</v>
      </c>
      <c r="K41" s="23" t="s">
        <v>333</v>
      </c>
      <c r="L41" s="23" t="s">
        <v>334</v>
      </c>
      <c r="M41" s="27" t="s">
        <v>94</v>
      </c>
      <c r="N41" s="28"/>
      <c r="O41" s="29" t="s">
        <v>122</v>
      </c>
      <c r="P41" s="29" t="s">
        <v>335</v>
      </c>
    </row>
    <row r="42" spans="1:16" ht="38" customHeight="1">
      <c r="A42" s="30" t="s">
        <v>336</v>
      </c>
      <c r="B42" s="31" t="s">
        <v>330</v>
      </c>
      <c r="C42" s="4" t="s">
        <v>337</v>
      </c>
      <c r="D42" s="4" t="s">
        <v>338</v>
      </c>
      <c r="E42" s="24">
        <v>4</v>
      </c>
      <c r="F42" s="24">
        <v>4</v>
      </c>
      <c r="G42" s="25">
        <v>4</v>
      </c>
      <c r="H42" s="25">
        <v>4</v>
      </c>
      <c r="I42" s="26">
        <f>IF(AND(ISNUMBER(G42),ISNUMBER(H42)),G42*H42,"—")</f>
        <v>0</v>
      </c>
      <c r="J42" s="26">
        <f>IF(I42="—","—",IF(I42&gt;=15,"Kritiek",IF(I42&gt;=8,"Hoog",IF(I42&gt;=4,"Middel","Laag"))))</f>
        <v>0</v>
      </c>
      <c r="K42" s="4" t="s">
        <v>339</v>
      </c>
      <c r="L42" s="4" t="s">
        <v>340</v>
      </c>
      <c r="M42" s="32" t="s">
        <v>94</v>
      </c>
      <c r="N42" s="33"/>
      <c r="O42" s="34" t="s">
        <v>122</v>
      </c>
      <c r="P42" s="34" t="s">
        <v>341</v>
      </c>
    </row>
    <row r="43" spans="1:16" ht="38" customHeight="1">
      <c r="A43" s="21" t="s">
        <v>342</v>
      </c>
      <c r="B43" s="22" t="s">
        <v>330</v>
      </c>
      <c r="C43" s="23" t="s">
        <v>343</v>
      </c>
      <c r="D43" s="23" t="s">
        <v>344</v>
      </c>
      <c r="E43" s="24">
        <v>4</v>
      </c>
      <c r="F43" s="24">
        <v>3</v>
      </c>
      <c r="G43" s="25">
        <v>4</v>
      </c>
      <c r="H43" s="25">
        <v>3</v>
      </c>
      <c r="I43" s="26">
        <f>IF(AND(ISNUMBER(G43),ISNUMBER(H43)),G43*H43,"—")</f>
        <v>0</v>
      </c>
      <c r="J43" s="26">
        <f>IF(I43="—","—",IF(I43&gt;=15,"Kritiek",IF(I43&gt;=8,"Hoog",IF(I43&gt;=4,"Middel","Laag"))))</f>
        <v>0</v>
      </c>
      <c r="K43" s="23" t="s">
        <v>345</v>
      </c>
      <c r="L43" s="23" t="s">
        <v>346</v>
      </c>
      <c r="M43" s="27" t="s">
        <v>94</v>
      </c>
      <c r="N43" s="28"/>
      <c r="O43" s="29" t="s">
        <v>347</v>
      </c>
      <c r="P43" s="29" t="s">
        <v>348</v>
      </c>
    </row>
    <row r="44" spans="1:16" ht="38" customHeight="1">
      <c r="A44" s="30" t="s">
        <v>349</v>
      </c>
      <c r="B44" s="31" t="s">
        <v>330</v>
      </c>
      <c r="C44" s="4" t="s">
        <v>350</v>
      </c>
      <c r="D44" s="4" t="s">
        <v>351</v>
      </c>
      <c r="E44" s="24">
        <v>4</v>
      </c>
      <c r="F44" s="24">
        <v>3</v>
      </c>
      <c r="G44" s="25">
        <v>4</v>
      </c>
      <c r="H44" s="25">
        <v>3</v>
      </c>
      <c r="I44" s="26">
        <f>IF(AND(ISNUMBER(G44),ISNUMBER(H44)),G44*H44,"—")</f>
        <v>0</v>
      </c>
      <c r="J44" s="26">
        <f>IF(I44="—","—",IF(I44&gt;=15,"Kritiek",IF(I44&gt;=8,"Hoog",IF(I44&gt;=4,"Middel","Laag"))))</f>
        <v>0</v>
      </c>
      <c r="K44" s="4" t="s">
        <v>352</v>
      </c>
      <c r="L44" s="4" t="s">
        <v>353</v>
      </c>
      <c r="M44" s="32" t="s">
        <v>94</v>
      </c>
      <c r="N44" s="33"/>
      <c r="O44" s="34" t="s">
        <v>185</v>
      </c>
      <c r="P44" s="34" t="s">
        <v>354</v>
      </c>
    </row>
    <row r="45" spans="1:16" ht="38" customHeight="1">
      <c r="A45" s="21" t="s">
        <v>355</v>
      </c>
      <c r="B45" s="22" t="s">
        <v>330</v>
      </c>
      <c r="C45" s="23" t="s">
        <v>356</v>
      </c>
      <c r="D45" s="23" t="s">
        <v>357</v>
      </c>
      <c r="E45" s="24">
        <v>3</v>
      </c>
      <c r="F45" s="24">
        <v>4</v>
      </c>
      <c r="G45" s="25">
        <v>3</v>
      </c>
      <c r="H45" s="25">
        <v>4</v>
      </c>
      <c r="I45" s="26">
        <f>IF(AND(ISNUMBER(G45),ISNUMBER(H45)),G45*H45,"—")</f>
        <v>0</v>
      </c>
      <c r="J45" s="26">
        <f>IF(I45="—","—",IF(I45&gt;=15,"Kritiek",IF(I45&gt;=8,"Hoog",IF(I45&gt;=4,"Middel","Laag"))))</f>
        <v>0</v>
      </c>
      <c r="K45" s="23" t="s">
        <v>358</v>
      </c>
      <c r="L45" s="23" t="s">
        <v>359</v>
      </c>
      <c r="M45" s="27" t="s">
        <v>94</v>
      </c>
      <c r="N45" s="28"/>
      <c r="O45" s="29" t="s">
        <v>360</v>
      </c>
      <c r="P45" s="29" t="s">
        <v>361</v>
      </c>
    </row>
    <row r="46" spans="1:16" ht="38" customHeight="1">
      <c r="A46" s="30" t="s">
        <v>362</v>
      </c>
      <c r="B46" s="31" t="s">
        <v>330</v>
      </c>
      <c r="C46" s="4" t="s">
        <v>363</v>
      </c>
      <c r="D46" s="4" t="s">
        <v>364</v>
      </c>
      <c r="E46" s="24">
        <v>3</v>
      </c>
      <c r="F46" s="24">
        <v>4</v>
      </c>
      <c r="G46" s="25">
        <v>3</v>
      </c>
      <c r="H46" s="25">
        <v>4</v>
      </c>
      <c r="I46" s="26">
        <f>IF(AND(ISNUMBER(G46),ISNUMBER(H46)),G46*H46,"—")</f>
        <v>0</v>
      </c>
      <c r="J46" s="26">
        <f>IF(I46="—","—",IF(I46&gt;=15,"Kritiek",IF(I46&gt;=8,"Hoog",IF(I46&gt;=4,"Middel","Laag"))))</f>
        <v>0</v>
      </c>
      <c r="K46" s="4" t="s">
        <v>365</v>
      </c>
      <c r="L46" s="4" t="s">
        <v>366</v>
      </c>
      <c r="M46" s="32" t="s">
        <v>94</v>
      </c>
      <c r="N46" s="33"/>
      <c r="O46" s="34" t="s">
        <v>367</v>
      </c>
      <c r="P46" s="34" t="s">
        <v>368</v>
      </c>
    </row>
    <row r="48" spans="1:16">
      <c r="A48" s="8" t="s">
        <v>375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</sheetData>
  <sheetProtection sheet="1" objects="1" scenarios="1"/>
  <mergeCells count="6">
    <mergeCell ref="A1:J1"/>
    <mergeCell ref="K1:P1"/>
    <mergeCell ref="B2:D2"/>
    <mergeCell ref="N2:P2"/>
    <mergeCell ref="A3:P3"/>
    <mergeCell ref="A48:P48"/>
  </mergeCells>
  <conditionalFormatting sqref="I5:I46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J5:J46">
    <cfRule type="expression" dxfId="0" priority="5">
      <formula>AND(ISNUMBER(I5),I5&gt;=15)</formula>
    </cfRule>
    <cfRule type="expression" dxfId="1" priority="6">
      <formula>AND(ISNUMBER(I5),I5&gt;=8,I5&lt;15)</formula>
    </cfRule>
    <cfRule type="expression" dxfId="2" priority="7">
      <formula>AND(ISNUMBER(I5),I5&gt;=4,I5&lt;8)</formula>
    </cfRule>
    <cfRule type="expression" dxfId="3" priority="8">
      <formula>AND(ISNUMBER(I5),I5&gt;=1,I5&lt;4)</formula>
    </cfRule>
  </conditionalFormatting>
  <dataValidations count="3">
    <dataValidation type="list" allowBlank="1" showInputMessage="1" showErrorMessage="1" sqref="M5:M46">
      <formula1>"Ja,Nee,Deels"</formula1>
    </dataValidation>
    <dataValidation type="list" allowBlank="1" showInputMessage="1" showErrorMessage="1" sqref="G5:G46">
      <formula1>"1,2,3,4,5"</formula1>
    </dataValidation>
    <dataValidation type="list" allowBlank="1" showInputMessage="1" showErrorMessage="1" sqref="H5:H46">
      <formula1>"1,2,3,4,5"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44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</cols>
  <sheetData>
    <row r="1" spans="1:16" ht="44" customHeight="1">
      <c r="A1" s="41" t="s">
        <v>376</v>
      </c>
      <c r="B1" s="41"/>
      <c r="C1" s="41"/>
      <c r="D1" s="41"/>
      <c r="E1" s="41"/>
      <c r="F1" s="41"/>
      <c r="G1" s="41"/>
      <c r="H1" s="41"/>
      <c r="I1" s="41"/>
      <c r="J1" s="41"/>
      <c r="K1" s="42" t="s">
        <v>64</v>
      </c>
      <c r="L1" s="42"/>
      <c r="M1" s="42"/>
      <c r="N1" s="42"/>
      <c r="O1" s="42"/>
      <c r="P1" s="42"/>
    </row>
    <row r="2" spans="1:16" ht="20" customHeight="1">
      <c r="A2" s="11" t="s">
        <v>65</v>
      </c>
      <c r="B2" s="12" t="s">
        <v>31</v>
      </c>
      <c r="C2" s="12"/>
      <c r="D2" s="12"/>
      <c r="E2" s="11" t="s">
        <v>66</v>
      </c>
      <c r="F2" s="13">
        <f>COUNTA(C5:C42)</f>
        <v>0</v>
      </c>
      <c r="G2" s="11" t="s">
        <v>67</v>
      </c>
      <c r="H2" s="14">
        <f>COUNTIF(J5:J42,"Kritiek")</f>
        <v>0</v>
      </c>
      <c r="I2" s="11" t="s">
        <v>68</v>
      </c>
      <c r="J2" s="15">
        <f>COUNTIF(J5:J42,"Hoog")</f>
        <v>0</v>
      </c>
      <c r="K2" s="11" t="s">
        <v>69</v>
      </c>
      <c r="L2" s="16">
        <f>COUNTIF(J5:J42,"Middel")</f>
        <v>0</v>
      </c>
      <c r="M2" s="11" t="s">
        <v>70</v>
      </c>
      <c r="N2" s="12" t="s">
        <v>35</v>
      </c>
      <c r="O2" s="12"/>
      <c r="P2" s="12"/>
    </row>
    <row r="3" spans="1:16" ht="18" customHeight="1">
      <c r="A3" s="17" t="s">
        <v>71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40" customHeight="1">
      <c r="A4" s="18" t="s">
        <v>72</v>
      </c>
      <c r="B4" s="18" t="s">
        <v>73</v>
      </c>
      <c r="C4" s="18" t="s">
        <v>74</v>
      </c>
      <c r="D4" s="18" t="s">
        <v>75</v>
      </c>
      <c r="E4" s="19" t="s">
        <v>76</v>
      </c>
      <c r="F4" s="19" t="s">
        <v>77</v>
      </c>
      <c r="G4" s="20" t="s">
        <v>78</v>
      </c>
      <c r="H4" s="20" t="s">
        <v>79</v>
      </c>
      <c r="I4" s="18" t="s">
        <v>80</v>
      </c>
      <c r="J4" s="18" t="s">
        <v>81</v>
      </c>
      <c r="K4" s="18" t="s">
        <v>82</v>
      </c>
      <c r="L4" s="18" t="s">
        <v>83</v>
      </c>
      <c r="M4" s="18" t="s">
        <v>84</v>
      </c>
      <c r="N4" s="18" t="s">
        <v>85</v>
      </c>
      <c r="O4" s="20" t="s">
        <v>86</v>
      </c>
      <c r="P4" s="20" t="s">
        <v>87</v>
      </c>
    </row>
    <row r="5" spans="1:16" ht="38" customHeight="1">
      <c r="A5" s="21" t="s">
        <v>88</v>
      </c>
      <c r="B5" s="22" t="s">
        <v>89</v>
      </c>
      <c r="C5" s="23" t="s">
        <v>90</v>
      </c>
      <c r="D5" s="23" t="s">
        <v>91</v>
      </c>
      <c r="E5" s="24">
        <v>5</v>
      </c>
      <c r="F5" s="24">
        <v>4</v>
      </c>
      <c r="G5" s="25">
        <v>5</v>
      </c>
      <c r="H5" s="25">
        <v>4</v>
      </c>
      <c r="I5" s="26">
        <f>IF(AND(ISNUMBER(G5),ISNUMBER(H5)),G5*H5,"—")</f>
        <v>0</v>
      </c>
      <c r="J5" s="26">
        <f>IF(I5="—","—",IF(I5&gt;=15,"Kritiek",IF(I5&gt;=8,"Hoog",IF(I5&gt;=4,"Middel","Laag"))))</f>
        <v>0</v>
      </c>
      <c r="K5" s="23" t="s">
        <v>92</v>
      </c>
      <c r="L5" s="23" t="s">
        <v>93</v>
      </c>
      <c r="M5" s="27" t="s">
        <v>94</v>
      </c>
      <c r="N5" s="28"/>
      <c r="O5" s="29" t="s">
        <v>95</v>
      </c>
      <c r="P5" s="29" t="s">
        <v>96</v>
      </c>
    </row>
    <row r="6" spans="1:16" ht="38" customHeight="1">
      <c r="A6" s="30" t="s">
        <v>97</v>
      </c>
      <c r="B6" s="31" t="s">
        <v>89</v>
      </c>
      <c r="C6" s="4" t="s">
        <v>98</v>
      </c>
      <c r="D6" s="4" t="s">
        <v>99</v>
      </c>
      <c r="E6" s="24">
        <v>1</v>
      </c>
      <c r="F6" s="24">
        <v>2</v>
      </c>
      <c r="G6" s="25">
        <v>1</v>
      </c>
      <c r="H6" s="25">
        <v>2</v>
      </c>
      <c r="I6" s="26">
        <f>IF(AND(ISNUMBER(G6),ISNUMBER(H6)),G6*H6,"—")</f>
        <v>0</v>
      </c>
      <c r="J6" s="26">
        <f>IF(I6="—","—",IF(I6&gt;=15,"Kritiek",IF(I6&gt;=8,"Hoog",IF(I6&gt;=4,"Middel","Laag"))))</f>
        <v>0</v>
      </c>
      <c r="K6" s="4" t="s">
        <v>100</v>
      </c>
      <c r="L6" s="4" t="s">
        <v>101</v>
      </c>
      <c r="M6" s="32" t="s">
        <v>94</v>
      </c>
      <c r="N6" s="33"/>
      <c r="O6" s="34" t="s">
        <v>95</v>
      </c>
      <c r="P6" s="34" t="s">
        <v>102</v>
      </c>
    </row>
    <row r="7" spans="1:16" ht="38" customHeight="1">
      <c r="A7" s="21" t="s">
        <v>103</v>
      </c>
      <c r="B7" s="22" t="s">
        <v>89</v>
      </c>
      <c r="C7" s="23" t="s">
        <v>104</v>
      </c>
      <c r="D7" s="23" t="s">
        <v>105</v>
      </c>
      <c r="E7" s="24">
        <v>2</v>
      </c>
      <c r="F7" s="24">
        <v>5</v>
      </c>
      <c r="G7" s="25">
        <v>2</v>
      </c>
      <c r="H7" s="25">
        <v>5</v>
      </c>
      <c r="I7" s="26">
        <f>IF(AND(ISNUMBER(G7),ISNUMBER(H7)),G7*H7,"—")</f>
        <v>0</v>
      </c>
      <c r="J7" s="26">
        <f>IF(I7="—","—",IF(I7&gt;=15,"Kritiek",IF(I7&gt;=8,"Hoog",IF(I7&gt;=4,"Middel","Laag"))))</f>
        <v>0</v>
      </c>
      <c r="K7" s="23" t="s">
        <v>106</v>
      </c>
      <c r="L7" s="23" t="s">
        <v>107</v>
      </c>
      <c r="M7" s="27" t="s">
        <v>94</v>
      </c>
      <c r="N7" s="28"/>
      <c r="O7" s="29" t="s">
        <v>108</v>
      </c>
      <c r="P7" s="29" t="s">
        <v>109</v>
      </c>
    </row>
    <row r="8" spans="1:16" ht="38" customHeight="1">
      <c r="A8" s="30" t="s">
        <v>110</v>
      </c>
      <c r="B8" s="31" t="s">
        <v>89</v>
      </c>
      <c r="C8" s="4" t="s">
        <v>111</v>
      </c>
      <c r="D8" s="4" t="s">
        <v>112</v>
      </c>
      <c r="E8" s="24">
        <v>4</v>
      </c>
      <c r="F8" s="24">
        <v>4</v>
      </c>
      <c r="G8" s="25">
        <v>4</v>
      </c>
      <c r="H8" s="25">
        <v>4</v>
      </c>
      <c r="I8" s="26">
        <f>IF(AND(ISNUMBER(G8),ISNUMBER(H8)),G8*H8,"—")</f>
        <v>0</v>
      </c>
      <c r="J8" s="26">
        <f>IF(I8="—","—",IF(I8&gt;=15,"Kritiek",IF(I8&gt;=8,"Hoog",IF(I8&gt;=4,"Middel","Laag"))))</f>
        <v>0</v>
      </c>
      <c r="K8" s="4" t="s">
        <v>113</v>
      </c>
      <c r="L8" s="4" t="s">
        <v>114</v>
      </c>
      <c r="M8" s="32" t="s">
        <v>94</v>
      </c>
      <c r="N8" s="33"/>
      <c r="O8" s="34" t="s">
        <v>115</v>
      </c>
      <c r="P8" s="34" t="s">
        <v>116</v>
      </c>
    </row>
    <row r="9" spans="1:16" ht="38" customHeight="1">
      <c r="A9" s="21" t="s">
        <v>117</v>
      </c>
      <c r="B9" s="22" t="s">
        <v>89</v>
      </c>
      <c r="C9" s="23" t="s">
        <v>118</v>
      </c>
      <c r="D9" s="23" t="s">
        <v>119</v>
      </c>
      <c r="E9" s="24">
        <v>5</v>
      </c>
      <c r="F9" s="24">
        <v>2</v>
      </c>
      <c r="G9" s="25">
        <v>5</v>
      </c>
      <c r="H9" s="25">
        <v>2</v>
      </c>
      <c r="I9" s="26">
        <f>IF(AND(ISNUMBER(G9),ISNUMBER(H9)),G9*H9,"—")</f>
        <v>0</v>
      </c>
      <c r="J9" s="26">
        <f>IF(I9="—","—",IF(I9&gt;=15,"Kritiek",IF(I9&gt;=8,"Hoog",IF(I9&gt;=4,"Middel","Laag"))))</f>
        <v>0</v>
      </c>
      <c r="K9" s="23" t="s">
        <v>120</v>
      </c>
      <c r="L9" s="23" t="s">
        <v>121</v>
      </c>
      <c r="M9" s="27" t="s">
        <v>94</v>
      </c>
      <c r="N9" s="28"/>
      <c r="O9" s="29" t="s">
        <v>122</v>
      </c>
      <c r="P9" s="29" t="s">
        <v>123</v>
      </c>
    </row>
    <row r="10" spans="1:16" ht="38" customHeight="1">
      <c r="A10" s="30" t="s">
        <v>124</v>
      </c>
      <c r="B10" s="31" t="s">
        <v>125</v>
      </c>
      <c r="C10" s="4" t="s">
        <v>126</v>
      </c>
      <c r="D10" s="4" t="s">
        <v>127</v>
      </c>
      <c r="E10" s="24">
        <v>5</v>
      </c>
      <c r="F10" s="24">
        <v>4</v>
      </c>
      <c r="G10" s="25">
        <v>5</v>
      </c>
      <c r="H10" s="25">
        <v>4</v>
      </c>
      <c r="I10" s="26">
        <f>IF(AND(ISNUMBER(G10),ISNUMBER(H10)),G10*H10,"—")</f>
        <v>0</v>
      </c>
      <c r="J10" s="26">
        <f>IF(I10="—","—",IF(I10&gt;=15,"Kritiek",IF(I10&gt;=8,"Hoog",IF(I10&gt;=4,"Middel","Laag"))))</f>
        <v>0</v>
      </c>
      <c r="K10" s="4" t="s">
        <v>128</v>
      </c>
      <c r="L10" s="4" t="s">
        <v>129</v>
      </c>
      <c r="M10" s="32" t="s">
        <v>94</v>
      </c>
      <c r="N10" s="33"/>
      <c r="O10" s="34" t="s">
        <v>130</v>
      </c>
      <c r="P10" s="34" t="s">
        <v>131</v>
      </c>
    </row>
    <row r="11" spans="1:16" ht="38" customHeight="1">
      <c r="A11" s="21" t="s">
        <v>132</v>
      </c>
      <c r="B11" s="22" t="s">
        <v>125</v>
      </c>
      <c r="C11" s="23" t="s">
        <v>133</v>
      </c>
      <c r="D11" s="23" t="s">
        <v>134</v>
      </c>
      <c r="E11" s="24">
        <v>5</v>
      </c>
      <c r="F11" s="24">
        <v>3</v>
      </c>
      <c r="G11" s="25">
        <v>5</v>
      </c>
      <c r="H11" s="25">
        <v>3</v>
      </c>
      <c r="I11" s="26">
        <f>IF(AND(ISNUMBER(G11),ISNUMBER(H11)),G11*H11,"—")</f>
        <v>0</v>
      </c>
      <c r="J11" s="26">
        <f>IF(I11="—","—",IF(I11&gt;=15,"Kritiek",IF(I11&gt;=8,"Hoog",IF(I11&gt;=4,"Middel","Laag"))))</f>
        <v>0</v>
      </c>
      <c r="K11" s="23" t="s">
        <v>135</v>
      </c>
      <c r="L11" s="23" t="s">
        <v>136</v>
      </c>
      <c r="M11" s="27" t="s">
        <v>94</v>
      </c>
      <c r="N11" s="28"/>
      <c r="O11" s="29" t="s">
        <v>137</v>
      </c>
      <c r="P11" s="29" t="s">
        <v>138</v>
      </c>
    </row>
    <row r="12" spans="1:16" ht="38" customHeight="1">
      <c r="A12" s="30" t="s">
        <v>139</v>
      </c>
      <c r="B12" s="31" t="s">
        <v>125</v>
      </c>
      <c r="C12" s="4" t="s">
        <v>140</v>
      </c>
      <c r="D12" s="4" t="s">
        <v>141</v>
      </c>
      <c r="E12" s="24">
        <v>4</v>
      </c>
      <c r="F12" s="24">
        <v>3</v>
      </c>
      <c r="G12" s="25">
        <v>4</v>
      </c>
      <c r="H12" s="25">
        <v>3</v>
      </c>
      <c r="I12" s="26">
        <f>IF(AND(ISNUMBER(G12),ISNUMBER(H12)),G12*H12,"—")</f>
        <v>0</v>
      </c>
      <c r="J12" s="26">
        <f>IF(I12="—","—",IF(I12&gt;=15,"Kritiek",IF(I12&gt;=8,"Hoog",IF(I12&gt;=4,"Middel","Laag"))))</f>
        <v>0</v>
      </c>
      <c r="K12" s="4" t="s">
        <v>142</v>
      </c>
      <c r="L12" s="4" t="s">
        <v>143</v>
      </c>
      <c r="M12" s="32" t="s">
        <v>94</v>
      </c>
      <c r="N12" s="33"/>
      <c r="O12" s="34" t="s">
        <v>144</v>
      </c>
      <c r="P12" s="34" t="s">
        <v>145</v>
      </c>
    </row>
    <row r="13" spans="1:16" ht="38" customHeight="1">
      <c r="A13" s="21" t="s">
        <v>146</v>
      </c>
      <c r="B13" s="22" t="s">
        <v>125</v>
      </c>
      <c r="C13" s="23" t="s">
        <v>147</v>
      </c>
      <c r="D13" s="23" t="s">
        <v>148</v>
      </c>
      <c r="E13" s="24">
        <v>4</v>
      </c>
      <c r="F13" s="24">
        <v>3</v>
      </c>
      <c r="G13" s="25">
        <v>4</v>
      </c>
      <c r="H13" s="25">
        <v>3</v>
      </c>
      <c r="I13" s="26">
        <f>IF(AND(ISNUMBER(G13),ISNUMBER(H13)),G13*H13,"—")</f>
        <v>0</v>
      </c>
      <c r="J13" s="26">
        <f>IF(I13="—","—",IF(I13&gt;=15,"Kritiek",IF(I13&gt;=8,"Hoog",IF(I13&gt;=4,"Middel","Laag"))))</f>
        <v>0</v>
      </c>
      <c r="K13" s="23" t="s">
        <v>149</v>
      </c>
      <c r="L13" s="23" t="s">
        <v>150</v>
      </c>
      <c r="M13" s="27" t="s">
        <v>94</v>
      </c>
      <c r="N13" s="28"/>
      <c r="O13" s="29" t="s">
        <v>137</v>
      </c>
      <c r="P13" s="29" t="s">
        <v>151</v>
      </c>
    </row>
    <row r="14" spans="1:16" ht="38" customHeight="1">
      <c r="A14" s="30" t="s">
        <v>152</v>
      </c>
      <c r="B14" s="31" t="s">
        <v>153</v>
      </c>
      <c r="C14" s="4" t="s">
        <v>154</v>
      </c>
      <c r="D14" s="4" t="s">
        <v>155</v>
      </c>
      <c r="E14" s="24">
        <v>4</v>
      </c>
      <c r="F14" s="24">
        <v>5</v>
      </c>
      <c r="G14" s="25">
        <v>4</v>
      </c>
      <c r="H14" s="25">
        <v>5</v>
      </c>
      <c r="I14" s="26">
        <f>IF(AND(ISNUMBER(G14),ISNUMBER(H14)),G14*H14,"—")</f>
        <v>0</v>
      </c>
      <c r="J14" s="26">
        <f>IF(I14="—","—",IF(I14&gt;=15,"Kritiek",IF(I14&gt;=8,"Hoog",IF(I14&gt;=4,"Middel","Laag"))))</f>
        <v>0</v>
      </c>
      <c r="K14" s="4" t="s">
        <v>156</v>
      </c>
      <c r="L14" s="4" t="s">
        <v>157</v>
      </c>
      <c r="M14" s="32" t="s">
        <v>94</v>
      </c>
      <c r="N14" s="33"/>
      <c r="O14" s="34" t="s">
        <v>158</v>
      </c>
      <c r="P14" s="34" t="s">
        <v>159</v>
      </c>
    </row>
    <row r="15" spans="1:16" ht="38" customHeight="1">
      <c r="A15" s="21" t="s">
        <v>160</v>
      </c>
      <c r="B15" s="22" t="s">
        <v>153</v>
      </c>
      <c r="C15" s="23" t="s">
        <v>161</v>
      </c>
      <c r="D15" s="23" t="s">
        <v>162</v>
      </c>
      <c r="E15" s="24">
        <v>4</v>
      </c>
      <c r="F15" s="24">
        <v>5</v>
      </c>
      <c r="G15" s="25">
        <v>4</v>
      </c>
      <c r="H15" s="25">
        <v>5</v>
      </c>
      <c r="I15" s="26">
        <f>IF(AND(ISNUMBER(G15),ISNUMBER(H15)),G15*H15,"—")</f>
        <v>0</v>
      </c>
      <c r="J15" s="26">
        <f>IF(I15="—","—",IF(I15&gt;=15,"Kritiek",IF(I15&gt;=8,"Hoog",IF(I15&gt;=4,"Middel","Laag"))))</f>
        <v>0</v>
      </c>
      <c r="K15" s="23" t="s">
        <v>163</v>
      </c>
      <c r="L15" s="23" t="s">
        <v>164</v>
      </c>
      <c r="M15" s="27" t="s">
        <v>94</v>
      </c>
      <c r="N15" s="28"/>
      <c r="O15" s="29" t="s">
        <v>165</v>
      </c>
      <c r="P15" s="29" t="s">
        <v>166</v>
      </c>
    </row>
    <row r="16" spans="1:16" ht="38" customHeight="1">
      <c r="A16" s="30" t="s">
        <v>167</v>
      </c>
      <c r="B16" s="31" t="s">
        <v>153</v>
      </c>
      <c r="C16" s="4" t="s">
        <v>168</v>
      </c>
      <c r="D16" s="4" t="s">
        <v>169</v>
      </c>
      <c r="E16" s="24">
        <v>5</v>
      </c>
      <c r="F16" s="24">
        <v>4</v>
      </c>
      <c r="G16" s="25">
        <v>5</v>
      </c>
      <c r="H16" s="25">
        <v>4</v>
      </c>
      <c r="I16" s="26">
        <f>IF(AND(ISNUMBER(G16),ISNUMBER(H16)),G16*H16,"—")</f>
        <v>0</v>
      </c>
      <c r="J16" s="26">
        <f>IF(I16="—","—",IF(I16&gt;=15,"Kritiek",IF(I16&gt;=8,"Hoog",IF(I16&gt;=4,"Middel","Laag"))))</f>
        <v>0</v>
      </c>
      <c r="K16" s="4" t="s">
        <v>170</v>
      </c>
      <c r="L16" s="4" t="s">
        <v>171</v>
      </c>
      <c r="M16" s="32" t="s">
        <v>94</v>
      </c>
      <c r="N16" s="33"/>
      <c r="O16" s="34" t="s">
        <v>158</v>
      </c>
      <c r="P16" s="34" t="s">
        <v>172</v>
      </c>
    </row>
    <row r="17" spans="1:16" ht="38" customHeight="1">
      <c r="A17" s="21" t="s">
        <v>173</v>
      </c>
      <c r="B17" s="22" t="s">
        <v>153</v>
      </c>
      <c r="C17" s="23" t="s">
        <v>174</v>
      </c>
      <c r="D17" s="23" t="s">
        <v>175</v>
      </c>
      <c r="E17" s="24">
        <v>4</v>
      </c>
      <c r="F17" s="24">
        <v>4</v>
      </c>
      <c r="G17" s="25">
        <v>4</v>
      </c>
      <c r="H17" s="25">
        <v>4</v>
      </c>
      <c r="I17" s="26">
        <f>IF(AND(ISNUMBER(G17),ISNUMBER(H17)),G17*H17,"—")</f>
        <v>0</v>
      </c>
      <c r="J17" s="26">
        <f>IF(I17="—","—",IF(I17&gt;=15,"Kritiek",IF(I17&gt;=8,"Hoog",IF(I17&gt;=4,"Middel","Laag"))))</f>
        <v>0</v>
      </c>
      <c r="K17" s="23" t="s">
        <v>176</v>
      </c>
      <c r="L17" s="23" t="s">
        <v>177</v>
      </c>
      <c r="M17" s="27" t="s">
        <v>94</v>
      </c>
      <c r="N17" s="28"/>
      <c r="O17" s="29" t="s">
        <v>165</v>
      </c>
      <c r="P17" s="29" t="s">
        <v>178</v>
      </c>
    </row>
    <row r="18" spans="1:16" ht="38" customHeight="1">
      <c r="A18" s="30" t="s">
        <v>179</v>
      </c>
      <c r="B18" s="31" t="s">
        <v>180</v>
      </c>
      <c r="C18" s="4" t="s">
        <v>181</v>
      </c>
      <c r="D18" s="4" t="s">
        <v>182</v>
      </c>
      <c r="E18" s="24">
        <v>5</v>
      </c>
      <c r="F18" s="24">
        <v>3</v>
      </c>
      <c r="G18" s="25">
        <v>5</v>
      </c>
      <c r="H18" s="25">
        <v>3</v>
      </c>
      <c r="I18" s="26">
        <f>IF(AND(ISNUMBER(G18),ISNUMBER(H18)),G18*H18,"—")</f>
        <v>0</v>
      </c>
      <c r="J18" s="26">
        <f>IF(I18="—","—",IF(I18&gt;=15,"Kritiek",IF(I18&gt;=8,"Hoog",IF(I18&gt;=4,"Middel","Laag"))))</f>
        <v>0</v>
      </c>
      <c r="K18" s="4" t="s">
        <v>183</v>
      </c>
      <c r="L18" s="4" t="s">
        <v>184</v>
      </c>
      <c r="M18" s="32" t="s">
        <v>94</v>
      </c>
      <c r="N18" s="33"/>
      <c r="O18" s="34" t="s">
        <v>185</v>
      </c>
      <c r="P18" s="34" t="s">
        <v>186</v>
      </c>
    </row>
    <row r="19" spans="1:16" ht="38" customHeight="1">
      <c r="A19" s="21" t="s">
        <v>187</v>
      </c>
      <c r="B19" s="22" t="s">
        <v>180</v>
      </c>
      <c r="C19" s="23" t="s">
        <v>188</v>
      </c>
      <c r="D19" s="23" t="s">
        <v>189</v>
      </c>
      <c r="E19" s="24">
        <v>5</v>
      </c>
      <c r="F19" s="24">
        <v>4</v>
      </c>
      <c r="G19" s="25">
        <v>5</v>
      </c>
      <c r="H19" s="25">
        <v>4</v>
      </c>
      <c r="I19" s="26">
        <f>IF(AND(ISNUMBER(G19),ISNUMBER(H19)),G19*H19,"—")</f>
        <v>0</v>
      </c>
      <c r="J19" s="26">
        <f>IF(I19="—","—",IF(I19&gt;=15,"Kritiek",IF(I19&gt;=8,"Hoog",IF(I19&gt;=4,"Middel","Laag"))))</f>
        <v>0</v>
      </c>
      <c r="K19" s="23" t="s">
        <v>190</v>
      </c>
      <c r="L19" s="23" t="s">
        <v>191</v>
      </c>
      <c r="M19" s="27" t="s">
        <v>94</v>
      </c>
      <c r="N19" s="28"/>
      <c r="O19" s="29" t="s">
        <v>192</v>
      </c>
      <c r="P19" s="29" t="s">
        <v>193</v>
      </c>
    </row>
    <row r="20" spans="1:16" ht="38" customHeight="1">
      <c r="A20" s="30" t="s">
        <v>194</v>
      </c>
      <c r="B20" s="31" t="s">
        <v>180</v>
      </c>
      <c r="C20" s="4" t="s">
        <v>195</v>
      </c>
      <c r="D20" s="4" t="s">
        <v>196</v>
      </c>
      <c r="E20" s="24">
        <v>4</v>
      </c>
      <c r="F20" s="24">
        <v>5</v>
      </c>
      <c r="G20" s="25">
        <v>4</v>
      </c>
      <c r="H20" s="25">
        <v>5</v>
      </c>
      <c r="I20" s="26">
        <f>IF(AND(ISNUMBER(G20),ISNUMBER(H20)),G20*H20,"—")</f>
        <v>0</v>
      </c>
      <c r="J20" s="26">
        <f>IF(I20="—","—",IF(I20&gt;=15,"Kritiek",IF(I20&gt;=8,"Hoog",IF(I20&gt;=4,"Middel","Laag"))))</f>
        <v>0</v>
      </c>
      <c r="K20" s="4" t="s">
        <v>197</v>
      </c>
      <c r="L20" s="4" t="s">
        <v>198</v>
      </c>
      <c r="M20" s="32" t="s">
        <v>94</v>
      </c>
      <c r="N20" s="33"/>
      <c r="O20" s="34" t="s">
        <v>199</v>
      </c>
      <c r="P20" s="34" t="s">
        <v>200</v>
      </c>
    </row>
    <row r="21" spans="1:16" ht="38" customHeight="1">
      <c r="A21" s="21" t="s">
        <v>201</v>
      </c>
      <c r="B21" s="22" t="s">
        <v>180</v>
      </c>
      <c r="C21" s="23" t="s">
        <v>202</v>
      </c>
      <c r="D21" s="23" t="s">
        <v>203</v>
      </c>
      <c r="E21" s="24">
        <v>5</v>
      </c>
      <c r="F21" s="24">
        <v>4</v>
      </c>
      <c r="G21" s="25">
        <v>5</v>
      </c>
      <c r="H21" s="25">
        <v>4</v>
      </c>
      <c r="I21" s="26">
        <f>IF(AND(ISNUMBER(G21),ISNUMBER(H21)),G21*H21,"—")</f>
        <v>0</v>
      </c>
      <c r="J21" s="26">
        <f>IF(I21="—","—",IF(I21&gt;=15,"Kritiek",IF(I21&gt;=8,"Hoog",IF(I21&gt;=4,"Middel","Laag"))))</f>
        <v>0</v>
      </c>
      <c r="K21" s="23" t="s">
        <v>204</v>
      </c>
      <c r="L21" s="23" t="s">
        <v>205</v>
      </c>
      <c r="M21" s="27" t="s">
        <v>94</v>
      </c>
      <c r="N21" s="28"/>
      <c r="O21" s="29" t="s">
        <v>206</v>
      </c>
      <c r="P21" s="29" t="s">
        <v>207</v>
      </c>
    </row>
    <row r="22" spans="1:16" ht="38" customHeight="1">
      <c r="A22" s="30" t="s">
        <v>208</v>
      </c>
      <c r="B22" s="31" t="s">
        <v>180</v>
      </c>
      <c r="C22" s="4" t="s">
        <v>209</v>
      </c>
      <c r="D22" s="4" t="s">
        <v>210</v>
      </c>
      <c r="E22" s="24">
        <v>4</v>
      </c>
      <c r="F22" s="24">
        <v>4</v>
      </c>
      <c r="G22" s="25">
        <v>4</v>
      </c>
      <c r="H22" s="25">
        <v>4</v>
      </c>
      <c r="I22" s="26">
        <f>IF(AND(ISNUMBER(G22),ISNUMBER(H22)),G22*H22,"—")</f>
        <v>0</v>
      </c>
      <c r="J22" s="26">
        <f>IF(I22="—","—",IF(I22&gt;=15,"Kritiek",IF(I22&gt;=8,"Hoog",IF(I22&gt;=4,"Middel","Laag"))))</f>
        <v>0</v>
      </c>
      <c r="K22" s="4" t="s">
        <v>211</v>
      </c>
      <c r="L22" s="4" t="s">
        <v>212</v>
      </c>
      <c r="M22" s="32" t="s">
        <v>94</v>
      </c>
      <c r="N22" s="33"/>
      <c r="O22" s="34" t="s">
        <v>206</v>
      </c>
      <c r="P22" s="34" t="s">
        <v>213</v>
      </c>
    </row>
    <row r="23" spans="1:16" ht="38" customHeight="1">
      <c r="A23" s="21" t="s">
        <v>214</v>
      </c>
      <c r="B23" s="22" t="s">
        <v>215</v>
      </c>
      <c r="C23" s="23" t="s">
        <v>216</v>
      </c>
      <c r="D23" s="23" t="s">
        <v>217</v>
      </c>
      <c r="E23" s="24">
        <v>4</v>
      </c>
      <c r="F23" s="24">
        <v>4</v>
      </c>
      <c r="G23" s="25">
        <v>4</v>
      </c>
      <c r="H23" s="25">
        <v>4</v>
      </c>
      <c r="I23" s="26">
        <f>IF(AND(ISNUMBER(G23),ISNUMBER(H23)),G23*H23,"—")</f>
        <v>0</v>
      </c>
      <c r="J23" s="26">
        <f>IF(I23="—","—",IF(I23&gt;=15,"Kritiek",IF(I23&gt;=8,"Hoog",IF(I23&gt;=4,"Middel","Laag"))))</f>
        <v>0</v>
      </c>
      <c r="K23" s="23" t="s">
        <v>218</v>
      </c>
      <c r="L23" s="23" t="s">
        <v>219</v>
      </c>
      <c r="M23" s="27" t="s">
        <v>94</v>
      </c>
      <c r="N23" s="28"/>
      <c r="O23" s="29" t="s">
        <v>122</v>
      </c>
      <c r="P23" s="29" t="s">
        <v>220</v>
      </c>
    </row>
    <row r="24" spans="1:16" ht="38" customHeight="1">
      <c r="A24" s="30" t="s">
        <v>221</v>
      </c>
      <c r="B24" s="31" t="s">
        <v>215</v>
      </c>
      <c r="C24" s="4" t="s">
        <v>222</v>
      </c>
      <c r="D24" s="4" t="s">
        <v>223</v>
      </c>
      <c r="E24" s="24">
        <v>5</v>
      </c>
      <c r="F24" s="24">
        <v>4</v>
      </c>
      <c r="G24" s="25">
        <v>5</v>
      </c>
      <c r="H24" s="25">
        <v>4</v>
      </c>
      <c r="I24" s="26">
        <f>IF(AND(ISNUMBER(G24),ISNUMBER(H24)),G24*H24,"—")</f>
        <v>0</v>
      </c>
      <c r="J24" s="26">
        <f>IF(I24="—","—",IF(I24&gt;=15,"Kritiek",IF(I24&gt;=8,"Hoog",IF(I24&gt;=4,"Middel","Laag"))))</f>
        <v>0</v>
      </c>
      <c r="K24" s="4" t="s">
        <v>224</v>
      </c>
      <c r="L24" s="4" t="s">
        <v>225</v>
      </c>
      <c r="M24" s="32" t="s">
        <v>94</v>
      </c>
      <c r="N24" s="33"/>
      <c r="O24" s="34" t="s">
        <v>122</v>
      </c>
      <c r="P24" s="34" t="s">
        <v>226</v>
      </c>
    </row>
    <row r="25" spans="1:16" ht="38" customHeight="1">
      <c r="A25" s="21" t="s">
        <v>227</v>
      </c>
      <c r="B25" s="22" t="s">
        <v>215</v>
      </c>
      <c r="C25" s="23" t="s">
        <v>228</v>
      </c>
      <c r="D25" s="23" t="s">
        <v>229</v>
      </c>
      <c r="E25" s="24">
        <v>4</v>
      </c>
      <c r="F25" s="24">
        <v>4</v>
      </c>
      <c r="G25" s="25">
        <v>4</v>
      </c>
      <c r="H25" s="25">
        <v>4</v>
      </c>
      <c r="I25" s="26">
        <f>IF(AND(ISNUMBER(G25),ISNUMBER(H25)),G25*H25,"—")</f>
        <v>0</v>
      </c>
      <c r="J25" s="26">
        <f>IF(I25="—","—",IF(I25&gt;=15,"Kritiek",IF(I25&gt;=8,"Hoog",IF(I25&gt;=4,"Middel","Laag"))))</f>
        <v>0</v>
      </c>
      <c r="K25" s="23" t="s">
        <v>230</v>
      </c>
      <c r="L25" s="23" t="s">
        <v>231</v>
      </c>
      <c r="M25" s="27" t="s">
        <v>94</v>
      </c>
      <c r="N25" s="28"/>
      <c r="O25" s="29" t="s">
        <v>232</v>
      </c>
      <c r="P25" s="29" t="s">
        <v>233</v>
      </c>
    </row>
    <row r="26" spans="1:16" ht="38" customHeight="1">
      <c r="A26" s="30" t="s">
        <v>234</v>
      </c>
      <c r="B26" s="31" t="s">
        <v>215</v>
      </c>
      <c r="C26" s="4" t="s">
        <v>235</v>
      </c>
      <c r="D26" s="4" t="s">
        <v>236</v>
      </c>
      <c r="E26" s="24">
        <v>4</v>
      </c>
      <c r="F26" s="24">
        <v>4</v>
      </c>
      <c r="G26" s="25">
        <v>4</v>
      </c>
      <c r="H26" s="25">
        <v>4</v>
      </c>
      <c r="I26" s="26">
        <f>IF(AND(ISNUMBER(G26),ISNUMBER(H26)),G26*H26,"—")</f>
        <v>0</v>
      </c>
      <c r="J26" s="26">
        <f>IF(I26="—","—",IF(I26&gt;=15,"Kritiek",IF(I26&gt;=8,"Hoog",IF(I26&gt;=4,"Middel","Laag"))))</f>
        <v>0</v>
      </c>
      <c r="K26" s="4" t="s">
        <v>237</v>
      </c>
      <c r="L26" s="4" t="s">
        <v>238</v>
      </c>
      <c r="M26" s="32" t="s">
        <v>94</v>
      </c>
      <c r="N26" s="33"/>
      <c r="O26" s="34" t="s">
        <v>165</v>
      </c>
      <c r="P26" s="34" t="s">
        <v>178</v>
      </c>
    </row>
    <row r="27" spans="1:16" ht="38" customHeight="1">
      <c r="A27" s="21" t="s">
        <v>239</v>
      </c>
      <c r="B27" s="22" t="s">
        <v>240</v>
      </c>
      <c r="C27" s="23" t="s">
        <v>241</v>
      </c>
      <c r="D27" s="23" t="s">
        <v>242</v>
      </c>
      <c r="E27" s="24">
        <v>5</v>
      </c>
      <c r="F27" s="24">
        <v>4</v>
      </c>
      <c r="G27" s="25">
        <v>5</v>
      </c>
      <c r="H27" s="25">
        <v>4</v>
      </c>
      <c r="I27" s="26">
        <f>IF(AND(ISNUMBER(G27),ISNUMBER(H27)),G27*H27,"—")</f>
        <v>0</v>
      </c>
      <c r="J27" s="26">
        <f>IF(I27="—","—",IF(I27&gt;=15,"Kritiek",IF(I27&gt;=8,"Hoog",IF(I27&gt;=4,"Middel","Laag"))))</f>
        <v>0</v>
      </c>
      <c r="K27" s="23" t="s">
        <v>243</v>
      </c>
      <c r="L27" s="23" t="s">
        <v>244</v>
      </c>
      <c r="M27" s="27" t="s">
        <v>94</v>
      </c>
      <c r="N27" s="28"/>
      <c r="O27" s="29" t="s">
        <v>95</v>
      </c>
      <c r="P27" s="29" t="s">
        <v>245</v>
      </c>
    </row>
    <row r="28" spans="1:16" ht="38" customHeight="1">
      <c r="A28" s="30" t="s">
        <v>246</v>
      </c>
      <c r="B28" s="31" t="s">
        <v>240</v>
      </c>
      <c r="C28" s="4" t="s">
        <v>247</v>
      </c>
      <c r="D28" s="4" t="s">
        <v>248</v>
      </c>
      <c r="E28" s="24">
        <v>4</v>
      </c>
      <c r="F28" s="24">
        <v>4</v>
      </c>
      <c r="G28" s="25">
        <v>4</v>
      </c>
      <c r="H28" s="25">
        <v>4</v>
      </c>
      <c r="I28" s="26">
        <f>IF(AND(ISNUMBER(G28),ISNUMBER(H28)),G28*H28,"—")</f>
        <v>0</v>
      </c>
      <c r="J28" s="26">
        <f>IF(I28="—","—",IF(I28&gt;=15,"Kritiek",IF(I28&gt;=8,"Hoog",IF(I28&gt;=4,"Middel","Laag"))))</f>
        <v>0</v>
      </c>
      <c r="K28" s="4" t="s">
        <v>249</v>
      </c>
      <c r="L28" s="4" t="s">
        <v>250</v>
      </c>
      <c r="M28" s="32" t="s">
        <v>94</v>
      </c>
      <c r="N28" s="33"/>
      <c r="O28" s="34" t="s">
        <v>122</v>
      </c>
      <c r="P28" s="34" t="s">
        <v>251</v>
      </c>
    </row>
    <row r="29" spans="1:16" ht="38" customHeight="1">
      <c r="A29" s="21" t="s">
        <v>252</v>
      </c>
      <c r="B29" s="22" t="s">
        <v>240</v>
      </c>
      <c r="C29" s="23" t="s">
        <v>253</v>
      </c>
      <c r="D29" s="23" t="s">
        <v>254</v>
      </c>
      <c r="E29" s="24">
        <v>3</v>
      </c>
      <c r="F29" s="24">
        <v>4</v>
      </c>
      <c r="G29" s="25">
        <v>3</v>
      </c>
      <c r="H29" s="25">
        <v>4</v>
      </c>
      <c r="I29" s="26">
        <f>IF(AND(ISNUMBER(G29),ISNUMBER(H29)),G29*H29,"—")</f>
        <v>0</v>
      </c>
      <c r="J29" s="26">
        <f>IF(I29="—","—",IF(I29&gt;=15,"Kritiek",IF(I29&gt;=8,"Hoog",IF(I29&gt;=4,"Middel","Laag"))))</f>
        <v>0</v>
      </c>
      <c r="K29" s="23" t="s">
        <v>255</v>
      </c>
      <c r="L29" s="23" t="s">
        <v>256</v>
      </c>
      <c r="M29" s="27" t="s">
        <v>94</v>
      </c>
      <c r="N29" s="28"/>
      <c r="O29" s="29" t="s">
        <v>122</v>
      </c>
      <c r="P29" s="29" t="s">
        <v>257</v>
      </c>
    </row>
    <row r="30" spans="1:16" ht="38" customHeight="1">
      <c r="A30" s="30" t="s">
        <v>258</v>
      </c>
      <c r="B30" s="31" t="s">
        <v>259</v>
      </c>
      <c r="C30" s="4" t="s">
        <v>260</v>
      </c>
      <c r="D30" s="4" t="s">
        <v>261</v>
      </c>
      <c r="E30" s="24">
        <v>2</v>
      </c>
      <c r="F30" s="24">
        <v>4</v>
      </c>
      <c r="G30" s="25">
        <v>2</v>
      </c>
      <c r="H30" s="25">
        <v>4</v>
      </c>
      <c r="I30" s="26">
        <f>IF(AND(ISNUMBER(G30),ISNUMBER(H30)),G30*H30,"—")</f>
        <v>0</v>
      </c>
      <c r="J30" s="26">
        <f>IF(I30="—","—",IF(I30&gt;=15,"Kritiek",IF(I30&gt;=8,"Hoog",IF(I30&gt;=4,"Middel","Laag"))))</f>
        <v>0</v>
      </c>
      <c r="K30" s="4" t="s">
        <v>262</v>
      </c>
      <c r="L30" s="4" t="s">
        <v>263</v>
      </c>
      <c r="M30" s="32" t="s">
        <v>94</v>
      </c>
      <c r="N30" s="33"/>
      <c r="O30" s="34" t="s">
        <v>264</v>
      </c>
      <c r="P30" s="34" t="s">
        <v>265</v>
      </c>
    </row>
    <row r="31" spans="1:16" ht="38" customHeight="1">
      <c r="A31" s="21" t="s">
        <v>266</v>
      </c>
      <c r="B31" s="22" t="s">
        <v>259</v>
      </c>
      <c r="C31" s="23" t="s">
        <v>267</v>
      </c>
      <c r="D31" s="23" t="s">
        <v>268</v>
      </c>
      <c r="E31" s="24">
        <v>5</v>
      </c>
      <c r="F31" s="24">
        <v>3</v>
      </c>
      <c r="G31" s="25">
        <v>5</v>
      </c>
      <c r="H31" s="25">
        <v>3</v>
      </c>
      <c r="I31" s="26">
        <f>IF(AND(ISNUMBER(G31),ISNUMBER(H31)),G31*H31,"—")</f>
        <v>0</v>
      </c>
      <c r="J31" s="26">
        <f>IF(I31="—","—",IF(I31&gt;=15,"Kritiek",IF(I31&gt;=8,"Hoog",IF(I31&gt;=4,"Middel","Laag"))))</f>
        <v>0</v>
      </c>
      <c r="K31" s="23" t="s">
        <v>269</v>
      </c>
      <c r="L31" s="23" t="s">
        <v>270</v>
      </c>
      <c r="M31" s="27" t="s">
        <v>94</v>
      </c>
      <c r="N31" s="28"/>
      <c r="O31" s="29" t="s">
        <v>130</v>
      </c>
      <c r="P31" s="29" t="s">
        <v>271</v>
      </c>
    </row>
    <row r="32" spans="1:16" ht="38" customHeight="1">
      <c r="A32" s="30" t="s">
        <v>272</v>
      </c>
      <c r="B32" s="31" t="s">
        <v>259</v>
      </c>
      <c r="C32" s="4" t="s">
        <v>273</v>
      </c>
      <c r="D32" s="4" t="s">
        <v>274</v>
      </c>
      <c r="E32" s="24">
        <v>4</v>
      </c>
      <c r="F32" s="24">
        <v>3</v>
      </c>
      <c r="G32" s="25">
        <v>4</v>
      </c>
      <c r="H32" s="25">
        <v>3</v>
      </c>
      <c r="I32" s="26">
        <f>IF(AND(ISNUMBER(G32),ISNUMBER(H32)),G32*H32,"—")</f>
        <v>0</v>
      </c>
      <c r="J32" s="26">
        <f>IF(I32="—","—",IF(I32&gt;=15,"Kritiek",IF(I32&gt;=8,"Hoog",IF(I32&gt;=4,"Middel","Laag"))))</f>
        <v>0</v>
      </c>
      <c r="K32" s="4" t="s">
        <v>275</v>
      </c>
      <c r="L32" s="4" t="s">
        <v>276</v>
      </c>
      <c r="M32" s="32" t="s">
        <v>94</v>
      </c>
      <c r="N32" s="33"/>
      <c r="O32" s="34" t="s">
        <v>264</v>
      </c>
      <c r="P32" s="34" t="s">
        <v>277</v>
      </c>
    </row>
    <row r="33" spans="1:16" ht="38" customHeight="1">
      <c r="A33" s="21" t="s">
        <v>278</v>
      </c>
      <c r="B33" s="22" t="s">
        <v>303</v>
      </c>
      <c r="C33" s="23" t="s">
        <v>304</v>
      </c>
      <c r="D33" s="23" t="s">
        <v>305</v>
      </c>
      <c r="E33" s="24">
        <v>3</v>
      </c>
      <c r="F33" s="24">
        <v>4</v>
      </c>
      <c r="G33" s="25">
        <v>3</v>
      </c>
      <c r="H33" s="25">
        <v>4</v>
      </c>
      <c r="I33" s="26">
        <f>IF(AND(ISNUMBER(G33),ISNUMBER(H33)),G33*H33,"—")</f>
        <v>0</v>
      </c>
      <c r="J33" s="26">
        <f>IF(I33="—","—",IF(I33&gt;=15,"Kritiek",IF(I33&gt;=8,"Hoog",IF(I33&gt;=4,"Middel","Laag"))))</f>
        <v>0</v>
      </c>
      <c r="K33" s="23" t="s">
        <v>306</v>
      </c>
      <c r="L33" s="23" t="s">
        <v>307</v>
      </c>
      <c r="M33" s="27" t="s">
        <v>94</v>
      </c>
      <c r="N33" s="28"/>
      <c r="O33" s="29" t="s">
        <v>308</v>
      </c>
      <c r="P33" s="29" t="s">
        <v>309</v>
      </c>
    </row>
    <row r="34" spans="1:16" ht="38" customHeight="1">
      <c r="A34" s="30" t="s">
        <v>284</v>
      </c>
      <c r="B34" s="31" t="s">
        <v>303</v>
      </c>
      <c r="C34" s="4" t="s">
        <v>311</v>
      </c>
      <c r="D34" s="4" t="s">
        <v>312</v>
      </c>
      <c r="E34" s="24">
        <v>3</v>
      </c>
      <c r="F34" s="24">
        <v>4</v>
      </c>
      <c r="G34" s="25">
        <v>3</v>
      </c>
      <c r="H34" s="25">
        <v>4</v>
      </c>
      <c r="I34" s="26">
        <f>IF(AND(ISNUMBER(G34),ISNUMBER(H34)),G34*H34,"—")</f>
        <v>0</v>
      </c>
      <c r="J34" s="26">
        <f>IF(I34="—","—",IF(I34&gt;=15,"Kritiek",IF(I34&gt;=8,"Hoog",IF(I34&gt;=4,"Middel","Laag"))))</f>
        <v>0</v>
      </c>
      <c r="K34" s="4" t="s">
        <v>313</v>
      </c>
      <c r="L34" s="4" t="s">
        <v>314</v>
      </c>
      <c r="M34" s="32" t="s">
        <v>94</v>
      </c>
      <c r="N34" s="33"/>
      <c r="O34" s="34" t="s">
        <v>308</v>
      </c>
      <c r="P34" s="34" t="s">
        <v>315</v>
      </c>
    </row>
    <row r="35" spans="1:16" ht="38" customHeight="1">
      <c r="A35" s="21" t="s">
        <v>290</v>
      </c>
      <c r="B35" s="22" t="s">
        <v>303</v>
      </c>
      <c r="C35" s="23" t="s">
        <v>317</v>
      </c>
      <c r="D35" s="23" t="s">
        <v>318</v>
      </c>
      <c r="E35" s="24">
        <v>4</v>
      </c>
      <c r="F35" s="24">
        <v>4</v>
      </c>
      <c r="G35" s="25">
        <v>4</v>
      </c>
      <c r="H35" s="25">
        <v>4</v>
      </c>
      <c r="I35" s="26">
        <f>IF(AND(ISNUMBER(G35),ISNUMBER(H35)),G35*H35,"—")</f>
        <v>0</v>
      </c>
      <c r="J35" s="26">
        <f>IF(I35="—","—",IF(I35&gt;=15,"Kritiek",IF(I35&gt;=8,"Hoog",IF(I35&gt;=4,"Middel","Laag"))))</f>
        <v>0</v>
      </c>
      <c r="K35" s="23" t="s">
        <v>319</v>
      </c>
      <c r="L35" s="23" t="s">
        <v>320</v>
      </c>
      <c r="M35" s="27" t="s">
        <v>94</v>
      </c>
      <c r="N35" s="28"/>
      <c r="O35" s="29" t="s">
        <v>321</v>
      </c>
      <c r="P35" s="29" t="s">
        <v>322</v>
      </c>
    </row>
    <row r="36" spans="1:16" ht="38" customHeight="1">
      <c r="A36" s="30" t="s">
        <v>296</v>
      </c>
      <c r="B36" s="31" t="s">
        <v>303</v>
      </c>
      <c r="C36" s="4" t="s">
        <v>324</v>
      </c>
      <c r="D36" s="4" t="s">
        <v>325</v>
      </c>
      <c r="E36" s="24">
        <v>2</v>
      </c>
      <c r="F36" s="24">
        <v>4</v>
      </c>
      <c r="G36" s="25">
        <v>2</v>
      </c>
      <c r="H36" s="25">
        <v>4</v>
      </c>
      <c r="I36" s="26">
        <f>IF(AND(ISNUMBER(G36),ISNUMBER(H36)),G36*H36,"—")</f>
        <v>0</v>
      </c>
      <c r="J36" s="26">
        <f>IF(I36="—","—",IF(I36&gt;=15,"Kritiek",IF(I36&gt;=8,"Hoog",IF(I36&gt;=4,"Middel","Laag"))))</f>
        <v>0</v>
      </c>
      <c r="K36" s="4" t="s">
        <v>326</v>
      </c>
      <c r="L36" s="4" t="s">
        <v>327</v>
      </c>
      <c r="M36" s="32" t="s">
        <v>94</v>
      </c>
      <c r="N36" s="33"/>
      <c r="O36" s="34" t="s">
        <v>308</v>
      </c>
      <c r="P36" s="34" t="s">
        <v>328</v>
      </c>
    </row>
    <row r="37" spans="1:16" ht="38" customHeight="1">
      <c r="A37" s="21" t="s">
        <v>302</v>
      </c>
      <c r="B37" s="22" t="s">
        <v>330</v>
      </c>
      <c r="C37" s="23" t="s">
        <v>331</v>
      </c>
      <c r="D37" s="23" t="s">
        <v>332</v>
      </c>
      <c r="E37" s="24">
        <v>5</v>
      </c>
      <c r="F37" s="24">
        <v>3</v>
      </c>
      <c r="G37" s="25">
        <v>5</v>
      </c>
      <c r="H37" s="25">
        <v>3</v>
      </c>
      <c r="I37" s="26">
        <f>IF(AND(ISNUMBER(G37),ISNUMBER(H37)),G37*H37,"—")</f>
        <v>0</v>
      </c>
      <c r="J37" s="26">
        <f>IF(I37="—","—",IF(I37&gt;=15,"Kritiek",IF(I37&gt;=8,"Hoog",IF(I37&gt;=4,"Middel","Laag"))))</f>
        <v>0</v>
      </c>
      <c r="K37" s="23" t="s">
        <v>333</v>
      </c>
      <c r="L37" s="23" t="s">
        <v>334</v>
      </c>
      <c r="M37" s="27" t="s">
        <v>94</v>
      </c>
      <c r="N37" s="28"/>
      <c r="O37" s="29" t="s">
        <v>122</v>
      </c>
      <c r="P37" s="29" t="s">
        <v>335</v>
      </c>
    </row>
    <row r="38" spans="1:16" ht="38" customHeight="1">
      <c r="A38" s="30" t="s">
        <v>310</v>
      </c>
      <c r="B38" s="31" t="s">
        <v>330</v>
      </c>
      <c r="C38" s="4" t="s">
        <v>337</v>
      </c>
      <c r="D38" s="4" t="s">
        <v>338</v>
      </c>
      <c r="E38" s="24">
        <v>4</v>
      </c>
      <c r="F38" s="24">
        <v>3</v>
      </c>
      <c r="G38" s="25">
        <v>4</v>
      </c>
      <c r="H38" s="25">
        <v>3</v>
      </c>
      <c r="I38" s="26">
        <f>IF(AND(ISNUMBER(G38),ISNUMBER(H38)),G38*H38,"—")</f>
        <v>0</v>
      </c>
      <c r="J38" s="26">
        <f>IF(I38="—","—",IF(I38&gt;=15,"Kritiek",IF(I38&gt;=8,"Hoog",IF(I38&gt;=4,"Middel","Laag"))))</f>
        <v>0</v>
      </c>
      <c r="K38" s="4" t="s">
        <v>339</v>
      </c>
      <c r="L38" s="4" t="s">
        <v>340</v>
      </c>
      <c r="M38" s="32" t="s">
        <v>94</v>
      </c>
      <c r="N38" s="33"/>
      <c r="O38" s="34" t="s">
        <v>122</v>
      </c>
      <c r="P38" s="34" t="s">
        <v>341</v>
      </c>
    </row>
    <row r="39" spans="1:16" ht="38" customHeight="1">
      <c r="A39" s="21" t="s">
        <v>316</v>
      </c>
      <c r="B39" s="22" t="s">
        <v>330</v>
      </c>
      <c r="C39" s="23" t="s">
        <v>343</v>
      </c>
      <c r="D39" s="23" t="s">
        <v>344</v>
      </c>
      <c r="E39" s="24">
        <v>4</v>
      </c>
      <c r="F39" s="24">
        <v>3</v>
      </c>
      <c r="G39" s="25">
        <v>4</v>
      </c>
      <c r="H39" s="25">
        <v>3</v>
      </c>
      <c r="I39" s="26">
        <f>IF(AND(ISNUMBER(G39),ISNUMBER(H39)),G39*H39,"—")</f>
        <v>0</v>
      </c>
      <c r="J39" s="26">
        <f>IF(I39="—","—",IF(I39&gt;=15,"Kritiek",IF(I39&gt;=8,"Hoog",IF(I39&gt;=4,"Middel","Laag"))))</f>
        <v>0</v>
      </c>
      <c r="K39" s="23" t="s">
        <v>345</v>
      </c>
      <c r="L39" s="23" t="s">
        <v>346</v>
      </c>
      <c r="M39" s="27" t="s">
        <v>94</v>
      </c>
      <c r="N39" s="28"/>
      <c r="O39" s="29" t="s">
        <v>347</v>
      </c>
      <c r="P39" s="29" t="s">
        <v>348</v>
      </c>
    </row>
    <row r="40" spans="1:16" ht="38" customHeight="1">
      <c r="A40" s="30" t="s">
        <v>323</v>
      </c>
      <c r="B40" s="31" t="s">
        <v>330</v>
      </c>
      <c r="C40" s="4" t="s">
        <v>350</v>
      </c>
      <c r="D40" s="4" t="s">
        <v>351</v>
      </c>
      <c r="E40" s="24">
        <v>5</v>
      </c>
      <c r="F40" s="24">
        <v>4</v>
      </c>
      <c r="G40" s="25">
        <v>5</v>
      </c>
      <c r="H40" s="25">
        <v>4</v>
      </c>
      <c r="I40" s="26">
        <f>IF(AND(ISNUMBER(G40),ISNUMBER(H40)),G40*H40,"—")</f>
        <v>0</v>
      </c>
      <c r="J40" s="26">
        <f>IF(I40="—","—",IF(I40&gt;=15,"Kritiek",IF(I40&gt;=8,"Hoog",IF(I40&gt;=4,"Middel","Laag"))))</f>
        <v>0</v>
      </c>
      <c r="K40" s="4" t="s">
        <v>352</v>
      </c>
      <c r="L40" s="4" t="s">
        <v>353</v>
      </c>
      <c r="M40" s="32" t="s">
        <v>94</v>
      </c>
      <c r="N40" s="33"/>
      <c r="O40" s="34" t="s">
        <v>185</v>
      </c>
      <c r="P40" s="34" t="s">
        <v>354</v>
      </c>
    </row>
    <row r="41" spans="1:16" ht="38" customHeight="1">
      <c r="A41" s="21" t="s">
        <v>329</v>
      </c>
      <c r="B41" s="22" t="s">
        <v>330</v>
      </c>
      <c r="C41" s="23" t="s">
        <v>356</v>
      </c>
      <c r="D41" s="23" t="s">
        <v>357</v>
      </c>
      <c r="E41" s="24">
        <v>3</v>
      </c>
      <c r="F41" s="24">
        <v>4</v>
      </c>
      <c r="G41" s="25">
        <v>3</v>
      </c>
      <c r="H41" s="25">
        <v>4</v>
      </c>
      <c r="I41" s="26">
        <f>IF(AND(ISNUMBER(G41),ISNUMBER(H41)),G41*H41,"—")</f>
        <v>0</v>
      </c>
      <c r="J41" s="26">
        <f>IF(I41="—","—",IF(I41&gt;=15,"Kritiek",IF(I41&gt;=8,"Hoog",IF(I41&gt;=4,"Middel","Laag"))))</f>
        <v>0</v>
      </c>
      <c r="K41" s="23" t="s">
        <v>358</v>
      </c>
      <c r="L41" s="23" t="s">
        <v>359</v>
      </c>
      <c r="M41" s="27" t="s">
        <v>94</v>
      </c>
      <c r="N41" s="28"/>
      <c r="O41" s="29" t="s">
        <v>360</v>
      </c>
      <c r="P41" s="29" t="s">
        <v>361</v>
      </c>
    </row>
    <row r="42" spans="1:16" ht="38" customHeight="1">
      <c r="A42" s="30" t="s">
        <v>336</v>
      </c>
      <c r="B42" s="31" t="s">
        <v>330</v>
      </c>
      <c r="C42" s="4" t="s">
        <v>363</v>
      </c>
      <c r="D42" s="4" t="s">
        <v>364</v>
      </c>
      <c r="E42" s="24">
        <v>3</v>
      </c>
      <c r="F42" s="24">
        <v>4</v>
      </c>
      <c r="G42" s="25">
        <v>3</v>
      </c>
      <c r="H42" s="25">
        <v>4</v>
      </c>
      <c r="I42" s="26">
        <f>IF(AND(ISNUMBER(G42),ISNUMBER(H42)),G42*H42,"—")</f>
        <v>0</v>
      </c>
      <c r="J42" s="26">
        <f>IF(I42="—","—",IF(I42&gt;=15,"Kritiek",IF(I42&gt;=8,"Hoog",IF(I42&gt;=4,"Middel","Laag"))))</f>
        <v>0</v>
      </c>
      <c r="K42" s="4" t="s">
        <v>365</v>
      </c>
      <c r="L42" s="4" t="s">
        <v>366</v>
      </c>
      <c r="M42" s="32" t="s">
        <v>94</v>
      </c>
      <c r="N42" s="33"/>
      <c r="O42" s="34" t="s">
        <v>367</v>
      </c>
      <c r="P42" s="34" t="s">
        <v>368</v>
      </c>
    </row>
    <row r="44" spans="1:16">
      <c r="A44" s="8" t="s">
        <v>377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</sheetData>
  <sheetProtection sheet="1" objects="1" scenarios="1"/>
  <mergeCells count="6">
    <mergeCell ref="A1:J1"/>
    <mergeCell ref="K1:P1"/>
    <mergeCell ref="B2:D2"/>
    <mergeCell ref="N2:P2"/>
    <mergeCell ref="A3:P3"/>
    <mergeCell ref="A44:P44"/>
  </mergeCells>
  <conditionalFormatting sqref="I5:I42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conditionalFormatting sqref="J5:J42">
    <cfRule type="expression" dxfId="0" priority="5">
      <formula>AND(ISNUMBER(I5),I5&gt;=15)</formula>
    </cfRule>
    <cfRule type="expression" dxfId="1" priority="6">
      <formula>AND(ISNUMBER(I5),I5&gt;=8,I5&lt;15)</formula>
    </cfRule>
    <cfRule type="expression" dxfId="2" priority="7">
      <formula>AND(ISNUMBER(I5),I5&gt;=4,I5&lt;8)</formula>
    </cfRule>
    <cfRule type="expression" dxfId="3" priority="8">
      <formula>AND(ISNUMBER(I5),I5&gt;=1,I5&lt;4)</formula>
    </cfRule>
  </conditionalFormatting>
  <dataValidations count="3">
    <dataValidation type="list" allowBlank="1" showInputMessage="1" showErrorMessage="1" sqref="M5:M42">
      <formula1>"Ja,Nee,Deels"</formula1>
    </dataValidation>
    <dataValidation type="list" allowBlank="1" showInputMessage="1" showErrorMessage="1" sqref="G5:G42">
      <formula1>"1,2,3,4,5"</formula1>
    </dataValidation>
    <dataValidation type="list" allowBlank="1" showInputMessage="1" showErrorMessage="1" sqref="H5:H42">
      <formula1>"1,2,3,4,5"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/>
  </sheetViews>
  <sheetFormatPr defaultRowHeight="15"/>
  <cols>
    <col min="1" max="1" width="4.7109375" customWidth="1"/>
    <col min="2" max="2" width="18.7109375" customWidth="1"/>
    <col min="3" max="3" width="30.7109375" customWidth="1"/>
    <col min="4" max="4" width="55.7109375" customWidth="1"/>
  </cols>
  <sheetData>
    <row r="1" spans="1:4" ht="44" customHeight="1">
      <c r="A1" s="43" t="s">
        <v>378</v>
      </c>
      <c r="B1" s="43"/>
      <c r="C1" s="43"/>
      <c r="D1" s="43"/>
    </row>
    <row r="2" spans="1:4" ht="22" customHeight="1">
      <c r="A2" s="2" t="s">
        <v>379</v>
      </c>
      <c r="B2" s="2"/>
      <c r="C2" s="2"/>
      <c r="D2" s="2" t="s">
        <v>380</v>
      </c>
    </row>
    <row r="5" spans="1:4" ht="28" customHeight="1">
      <c r="A5" s="44" t="s">
        <v>381</v>
      </c>
      <c r="B5" s="44"/>
      <c r="C5" s="44"/>
      <c r="D5" s="44"/>
    </row>
    <row r="6" spans="1:4" ht="30" customHeight="1">
      <c r="A6" s="4"/>
      <c r="B6" s="5" t="s">
        <v>382</v>
      </c>
      <c r="C6" s="5" t="s">
        <v>383</v>
      </c>
      <c r="D6" s="4" t="s">
        <v>384</v>
      </c>
    </row>
    <row r="7" spans="1:4" ht="30" customHeight="1">
      <c r="A7" s="6"/>
      <c r="B7" s="5" t="s">
        <v>385</v>
      </c>
      <c r="C7" s="5" t="s">
        <v>386</v>
      </c>
      <c r="D7" s="6" t="s">
        <v>387</v>
      </c>
    </row>
    <row r="8" spans="1:4" ht="30" customHeight="1">
      <c r="A8" s="4"/>
      <c r="B8" s="5" t="s">
        <v>388</v>
      </c>
      <c r="C8" s="5" t="s">
        <v>389</v>
      </c>
      <c r="D8" s="4" t="s">
        <v>390</v>
      </c>
    </row>
    <row r="9" spans="1:4" ht="30" customHeight="1">
      <c r="A9" s="6"/>
      <c r="B9" s="5" t="s">
        <v>391</v>
      </c>
      <c r="C9" s="5" t="s">
        <v>392</v>
      </c>
      <c r="D9" s="6" t="s">
        <v>393</v>
      </c>
    </row>
    <row r="10" spans="1:4" ht="30" customHeight="1">
      <c r="A10" s="4"/>
      <c r="B10" s="5" t="s">
        <v>394</v>
      </c>
      <c r="C10" s="5" t="s">
        <v>395</v>
      </c>
      <c r="D10" s="4" t="s">
        <v>396</v>
      </c>
    </row>
    <row r="12" spans="1:4" ht="28" customHeight="1">
      <c r="A12" s="45" t="s">
        <v>397</v>
      </c>
      <c r="B12" s="45"/>
      <c r="C12" s="45"/>
      <c r="D12" s="45"/>
    </row>
    <row r="13" spans="1:4" ht="30" customHeight="1">
      <c r="A13" s="6"/>
      <c r="B13" s="46" t="s">
        <v>398</v>
      </c>
      <c r="C13" s="46" t="s">
        <v>399</v>
      </c>
      <c r="D13" s="6" t="s">
        <v>400</v>
      </c>
    </row>
    <row r="14" spans="1:4" ht="30" customHeight="1">
      <c r="A14" s="4"/>
      <c r="B14" s="46" t="s">
        <v>401</v>
      </c>
      <c r="C14" s="46" t="s">
        <v>402</v>
      </c>
      <c r="D14" s="4" t="s">
        <v>403</v>
      </c>
    </row>
    <row r="15" spans="1:4" ht="30" customHeight="1">
      <c r="A15" s="6"/>
      <c r="B15" s="46" t="s">
        <v>404</v>
      </c>
      <c r="C15" s="46" t="s">
        <v>405</v>
      </c>
      <c r="D15" s="6" t="s">
        <v>406</v>
      </c>
    </row>
    <row r="16" spans="1:4" ht="30" customHeight="1">
      <c r="A16" s="4"/>
      <c r="B16" s="46" t="s">
        <v>407</v>
      </c>
      <c r="C16" s="46" t="s">
        <v>408</v>
      </c>
      <c r="D16" s="4" t="s">
        <v>409</v>
      </c>
    </row>
    <row r="17" spans="1:4" ht="30" customHeight="1">
      <c r="A17" s="6"/>
      <c r="B17" s="46" t="s">
        <v>410</v>
      </c>
      <c r="C17" s="46" t="s">
        <v>411</v>
      </c>
      <c r="D17" s="6" t="s">
        <v>412</v>
      </c>
    </row>
    <row r="19" spans="1:4" ht="28" customHeight="1">
      <c r="A19" s="44" t="s">
        <v>413</v>
      </c>
      <c r="B19" s="44"/>
      <c r="C19" s="44"/>
      <c r="D19" s="44"/>
    </row>
    <row r="20" spans="1:4" ht="30" customHeight="1">
      <c r="A20" s="4"/>
      <c r="B20" s="5" t="s">
        <v>414</v>
      </c>
      <c r="C20" s="5" t="s">
        <v>415</v>
      </c>
      <c r="D20" s="4" t="s">
        <v>416</v>
      </c>
    </row>
    <row r="21" spans="1:4" ht="30" customHeight="1">
      <c r="A21" s="6"/>
      <c r="B21" s="5" t="s">
        <v>417</v>
      </c>
      <c r="C21" s="5" t="s">
        <v>418</v>
      </c>
      <c r="D21" s="6" t="s">
        <v>419</v>
      </c>
    </row>
    <row r="22" spans="1:4" ht="30" customHeight="1">
      <c r="A22" s="4"/>
      <c r="B22" s="5" t="s">
        <v>420</v>
      </c>
      <c r="C22" s="5" t="s">
        <v>421</v>
      </c>
      <c r="D22" s="4" t="s">
        <v>422</v>
      </c>
    </row>
    <row r="23" spans="1:4" ht="30" customHeight="1">
      <c r="A23" s="6"/>
      <c r="B23" s="5" t="s">
        <v>423</v>
      </c>
      <c r="C23" s="5" t="s">
        <v>424</v>
      </c>
      <c r="D23" s="6" t="s">
        <v>425</v>
      </c>
    </row>
    <row r="26" spans="1:4">
      <c r="A26" s="8" t="s">
        <v>62</v>
      </c>
      <c r="B26" s="8"/>
      <c r="C26" s="8"/>
      <c r="D26" s="8"/>
    </row>
  </sheetData>
  <sheetProtection sheet="1" objects="1" scenarios="1"/>
  <mergeCells count="6">
    <mergeCell ref="A1:D1"/>
    <mergeCell ref="A2:C2"/>
    <mergeCell ref="A5:D5"/>
    <mergeCell ref="A12:D12"/>
    <mergeCell ref="A19:D19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Gebruikswijzer</vt:lpstr>
      <vt:lpstr>Energie</vt:lpstr>
      <vt:lpstr>Transport</vt:lpstr>
      <vt:lpstr>Gezondheidszorg</vt:lpstr>
      <vt:lpstr>Water</vt:lpstr>
      <vt:lpstr>Digitale Dienstverleners</vt:lpstr>
      <vt:lpstr>Scoringsgids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2026-06-07T12:13:10Z</dcterms:created>
  <dcterms:modified xsi:type="dcterms:W3CDTF">2026-06-07T12:13:10Z</dcterms:modified>
</cp:coreProperties>
</file>