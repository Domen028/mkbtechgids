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-Analyse" sheetId="1" r:id="rId1"/>
    <sheet name="Dashboard" sheetId="2" r:id="rId2"/>
    <sheet name="Gebruikswijzer" sheetId="3" r:id="rId3"/>
  </sheets>
  <calcPr calcId="124519" fullCalcOnLoad="1"/>
</workbook>
</file>

<file path=xl/sharedStrings.xml><?xml version="1.0" encoding="utf-8"?>
<sst xmlns="http://schemas.openxmlformats.org/spreadsheetml/2006/main" count="213" uniqueCount="200">
  <si>
    <t>NIS2 GAP-ANALYSE — Zelfbeoordeling t.o.v. de NIS2-vereisten</t>
  </si>
  <si>
    <t>Instrument · Fase 1 Nulmeting · NIS2 (EU 2022/2555) + NL Cyberbeveiligingswet · v1.0 · mkbtechgids.nl</t>
  </si>
  <si>
    <t>Gebruik: (1) Beoordeel per vereiste uw Huidige status (kolom E, keuzelijst) · (2) De Volwassenheidsscore (kolom F) wordt automatisch berekend · (3) Bepaal de Gap-prioriteit · (4) Leg bewijs, eigenaar en streefdatum vast · (5) Zie het tabblad Dashboard voor uw compliance-percentage</t>
  </si>
  <si>
    <t>Bedrijf:</t>
  </si>
  <si>
    <t>{{BEDRIJFSNAAM}}</t>
  </si>
  <si>
    <t>Datum:</t>
  </si>
  <si>
    <t>{{DATUM}}</t>
  </si>
  <si>
    <t>Indicatieve volwassenheid: Afwezig=0 · In ontwikkeling=1 · Deels=2 · Volledig=3 · N.v.t. (gemotiveerd) telt NIET mee in de score</t>
  </si>
  <si>
    <t>Nr</t>
  </si>
  <si>
    <t>NIS2
Artikel</t>
  </si>
  <si>
    <t>Vereiste</t>
  </si>
  <si>
    <t>Wat dit inhoudt</t>
  </si>
  <si>
    <t>Huidige status</t>
  </si>
  <si>
    <t>Indic.
score (0–3)</t>
  </si>
  <si>
    <t>Gap-
prioriteit</t>
  </si>
  <si>
    <t>Aantoonbaar bewijs</t>
  </si>
  <si>
    <t>Eigenaar</t>
  </si>
  <si>
    <t>Streefdatum</t>
  </si>
  <si>
    <t>Referentie</t>
  </si>
  <si>
    <t>A · GOVERNANCE &amp; ORGANISATIE</t>
  </si>
  <si>
    <t>G01</t>
  </si>
  <si>
    <t>Art. 20(1)</t>
  </si>
  <si>
    <t>Bestuurlijke goedkeuring risicobeheer</t>
  </si>
  <si>
    <t>Het bestuur keurt de cyberbeveiligingsmaatregelen goed en houdt toezicht op de uitvoering ervan.</t>
  </si>
  <si>
    <t>M1 Zelfevaluatie</t>
  </si>
  <si>
    <t>G02</t>
  </si>
  <si>
    <t>Art. 20(2)</t>
  </si>
  <si>
    <t>Cybersecurity-training bestuur</t>
  </si>
  <si>
    <t>Bestuursleden volgen periodiek training om cyberrisico's te kunnen beoordelen en beheersen.</t>
  </si>
  <si>
    <t>M6 Medewerkers</t>
  </si>
  <si>
    <t>G03</t>
  </si>
  <si>
    <t>Art. 21(1)</t>
  </si>
  <si>
    <t>Vastgesteld beveiligingsbeleid</t>
  </si>
  <si>
    <t>Er is een gedocumenteerd, vastgesteld en jaarlijks herzien informatiebeveiligingsbeleid.</t>
  </si>
  <si>
    <t>M1 / M3</t>
  </si>
  <si>
    <t>G04</t>
  </si>
  <si>
    <t>Aangewezen verantwoordelijke (CISO-rol)</t>
  </si>
  <si>
    <t>Een persoon of rol is formeel verantwoordelijk voor cyberbeveiliging en NIS2-compliance.</t>
  </si>
  <si>
    <t>G05</t>
  </si>
  <si>
    <t>Risicoanalyse uitgevoerd &amp; onderhouden</t>
  </si>
  <si>
    <t>Een gedocumenteerde risicoanalyse is uitgevoerd en wordt periodiek geactualiseerd.</t>
  </si>
  <si>
    <t>M2 + R1 Risicoregister</t>
  </si>
  <si>
    <t>B · RISICOBEHEERMAATREGELEN — Art. 21(2)</t>
  </si>
  <si>
    <t>G06</t>
  </si>
  <si>
    <t>Art. 21(2)(a)</t>
  </si>
  <si>
    <t>Risicoanalyse &amp; beveiligingsbeleid</t>
  </si>
  <si>
    <t>Beleid voor risicoanalyse en de beveiliging van informatiesystemen is vastgesteld.</t>
  </si>
  <si>
    <t>M2 + M3</t>
  </si>
  <si>
    <t>G07</t>
  </si>
  <si>
    <t>Art. 21(2)(b)</t>
  </si>
  <si>
    <t>Incidentafhandeling</t>
  </si>
  <si>
    <t>Er is een proces voor detectie, afhandeling en evaluatie van beveiligingsincidenten.</t>
  </si>
  <si>
    <t>M3 + R4 Incidentenlog</t>
  </si>
  <si>
    <t>G08</t>
  </si>
  <si>
    <t>Art. 21(2)(c)</t>
  </si>
  <si>
    <t>Bedrijfscontinuïteit &amp; back-up</t>
  </si>
  <si>
    <t>Back-upbeheer, noodherstel en crisisbeheer zijn geregeld en getest.</t>
  </si>
  <si>
    <t>M5 Bedrijfscontinuiteit</t>
  </si>
  <si>
    <t>G09</t>
  </si>
  <si>
    <t>Art. 21(2)(d)</t>
  </si>
  <si>
    <t>Beveiliging toeleveringsketen</t>
  </si>
  <si>
    <t>Beveiligingseisen aan leveranciers en dienstverleners zijn vastgelegd en beoordeeld.</t>
  </si>
  <si>
    <t>M4 + R3 Leveranciers</t>
  </si>
  <si>
    <t>G10</t>
  </si>
  <si>
    <t>Art. 21(2)(e)</t>
  </si>
  <si>
    <t>Veilige ontwikkeling &amp; kwetsbaarhedenbeheer</t>
  </si>
  <si>
    <t>Beveiliging bij aanschaf, ontwikkeling en onderhoud van systemen incl. patch- en kwetsbaarhedenbeheer.</t>
  </si>
  <si>
    <t>M3 Beveiligingsmaatregelen</t>
  </si>
  <si>
    <t>G11</t>
  </si>
  <si>
    <t>Art. 21(2)(f)</t>
  </si>
  <si>
    <t>Effectiviteitsbeoordeling maatregelen</t>
  </si>
  <si>
    <t>Procedures om de doeltreffendheid van de risicobeheermaatregelen te beoordelen (audit/test).</t>
  </si>
  <si>
    <t>M8 + R5 Dashboard</t>
  </si>
  <si>
    <t>G12</t>
  </si>
  <si>
    <t>Art. 21(2)(g)</t>
  </si>
  <si>
    <t>Cyberhygiëne &amp; bewustwording</t>
  </si>
  <si>
    <t>Basismaatregelen voor cyberhygiëne en periodieke bewustwordingstraining voor medewerkers.</t>
  </si>
  <si>
    <t>M6 + R6 Trainingsregister</t>
  </si>
  <si>
    <t>G13</t>
  </si>
  <si>
    <t>Art. 21(2)(h)</t>
  </si>
  <si>
    <t>Cryptografie &amp; encryptie</t>
  </si>
  <si>
    <t>Beleid voor het gebruik van cryptografie en versleuteling van gevoelige gegevens.</t>
  </si>
  <si>
    <t>G14</t>
  </si>
  <si>
    <t>Art. 21(2)(i)</t>
  </si>
  <si>
    <t>Personeel, toegang &amp; assetbeheer</t>
  </si>
  <si>
    <t>Personeelsbeveiliging, toegangscontrole (least privilege) en beheer van bedrijfsmiddelen.</t>
  </si>
  <si>
    <t>M3 + R2 Activainventaris</t>
  </si>
  <si>
    <t>G15</t>
  </si>
  <si>
    <t>Art. 21(2)(j)</t>
  </si>
  <si>
    <t>MFA &amp; beveiligde communicatie</t>
  </si>
  <si>
    <t>Multifactorauthenticatie en beveiligde (nood)communicatievoorzieningen zijn geïmplementeerd.</t>
  </si>
  <si>
    <t>C · MELDPLICHT &amp; RAPPORTAGE — Art. 23</t>
  </si>
  <si>
    <t>G16</t>
  </si>
  <si>
    <t>Art. 23(4)(a)</t>
  </si>
  <si>
    <t>Vroegtijdige waarschuwing (24 uur)</t>
  </si>
  <si>
    <t>Een significant incident wordt binnen 24 uur als vroegtijdige waarschuwing gemeld bij het CSIRT.</t>
  </si>
  <si>
    <t>G17</t>
  </si>
  <si>
    <t>Art. 23(4)(b)</t>
  </si>
  <si>
    <t>Incidentmelding (72 uur)</t>
  </si>
  <si>
    <t>Binnen 72 uur volgt een volledige incidentmelding met eerste beoordeling en IoC's.</t>
  </si>
  <si>
    <t>G18</t>
  </si>
  <si>
    <t>Art. 23(4)(d)</t>
  </si>
  <si>
    <t>Eindrapport (1 maand)</t>
  </si>
  <si>
    <t>Binnen één maand wordt een eindverslag met oorzaak, impact en maatregelen ingediend.</t>
  </si>
  <si>
    <t>G19</t>
  </si>
  <si>
    <t>Art. 23(1)</t>
  </si>
  <si>
    <t>Meldproces &amp; contactpunt</t>
  </si>
  <si>
    <t>Een intern meldproces en vast contactpunt richting toezichthouder/CSIRT is ingericht.</t>
  </si>
  <si>
    <t>M1 + M7 Documentatie</t>
  </si>
  <si>
    <t>D · REGISTRATIE &amp; TOEZICHT</t>
  </si>
  <si>
    <t>G20</t>
  </si>
  <si>
    <t>Art. 3</t>
  </si>
  <si>
    <t>Bepaling van toepassing (scope)</t>
  </si>
  <si>
    <t>Vastgesteld of de organisatie essentieel/belangrijk is en onder NIS2 valt (sector + omvang).</t>
  </si>
  <si>
    <t>G21</t>
  </si>
  <si>
    <t>Art. 27</t>
  </si>
  <si>
    <t>Registratie bij toezichthouder</t>
  </si>
  <si>
    <t>De entiteit is (indien vereist) geregistreerd bij de bevoegde nationale autoriteit.</t>
  </si>
  <si>
    <t>G22</t>
  </si>
  <si>
    <t>Documentatie &amp; auditdossier</t>
  </si>
  <si>
    <t>Compliance-bewijs is gedocumenteerd en beschikbaar voor de toezichthouder.</t>
  </si>
  <si>
    <t>M7 + R7 Logregister</t>
  </si>
  <si>
    <t>G23</t>
  </si>
  <si>
    <t>Art. 24</t>
  </si>
  <si>
    <t>Jaarlijkse review &amp; continue verbetering</t>
  </si>
  <si>
    <t>Maatregelen en dossier worden jaarlijks geëvalueerd en aantoonbaar verbeterd.</t>
  </si>
  <si>
    <t>M8 Jaarlijkse Review</t>
  </si>
  <si>
    <t>Disclaimer: dit instrument is een hulpmiddel voor zelfbeoordeling en vormt geen juridisch advies of onafhankelijke (assurance-)audit. Raadpleeg bij twijfel een gekwalificeerd adviseur of de toezichthouder.</t>
  </si>
  <si>
    <t>MKBTechGids · NIS2 Gap-Analyse v1.0 · 23 vereisten · NIS2 + NL Cyberbeveiligingswet · KVK 27348456 · BTW NL004968309B61 · mkbtechgids.nl</t>
  </si>
  <si>
    <t>NIS2 GAP-ANALYSE — Compliance Dashboard</t>
  </si>
  <si>
    <t>Automatisch berekend uit het tabblad Gap-Analyse · mkbtechgids.nl</t>
  </si>
  <si>
    <t>OVERZICHT</t>
  </si>
  <si>
    <t>Aantal vereisten beoordeeld</t>
  </si>
  <si>
    <t>Volledig aanwezig</t>
  </si>
  <si>
    <t>Deels aanwezig</t>
  </si>
  <si>
    <t>In ontwikkeling</t>
  </si>
  <si>
    <t>Afwezig (= grootste gaps)</t>
  </si>
  <si>
    <t>N.v.t.</t>
  </si>
  <si>
    <t>COMPLIANCE-SCORE</t>
  </si>
  <si>
    <t>NIS2-volwassenheid (%) — indicatief</t>
  </si>
  <si>
    <t>Indicatief gemiddelde over alle TOEPASSELIJKE vereisten (0=afwezig, 100%=volledig). "N.v.t." telt niet mee — motiveer elke N.v.t. in de bewijskolom. Dit percentage is de canonieke compliance-score voor de Boardrapportage.</t>
  </si>
  <si>
    <t>INTERPRETATIE</t>
  </si>
  <si>
    <t>0–40%</t>
  </si>
  <si>
    <t>Onvoldoende — substantiële gaps. Start met de "Afwezig"-vereisten met prioriteit Hoog.</t>
  </si>
  <si>
    <t>40–70%</t>
  </si>
  <si>
    <t>In ontwikkeling — fundament aanwezig, maar dossier nog niet auditklaar.</t>
  </si>
  <si>
    <t>70–90%</t>
  </si>
  <si>
    <t>Gevorderd — richt u op effectiviteitsbeoordeling (f) en documentatie (M7/M8).</t>
  </si>
  <si>
    <t>90–100%</t>
  </si>
  <si>
    <t>Auditklaar — borg via de jaarlijkse review (M8) en houd bewijs actueel.</t>
  </si>
  <si>
    <t>Disclaimer: zelfbeoordeling, geen juridisch advies of onafhankelijke audit. Indicatieve volwassenheid — geen formeel CMMI/ISO-maturiteitsmodel.</t>
  </si>
  <si>
    <t>MKBTechGids · NIS2 Compliance Toolkit · KVK 27348456 · BTW NL004968309B61 · mkbtechgids.nl</t>
  </si>
  <si>
    <t>NIS2 GAP-ANALYSE — Gebruikswijzer &amp; Methodologie</t>
  </si>
  <si>
    <t>Instrument · Fase 1 Nulmeting · Art. 20–24</t>
  </si>
  <si>
    <t>23 vereisten · NIS2-richtlijn (EU) 2022/2555 · mkbtechgids.nl</t>
  </si>
  <si>
    <t>HOE GEBRUIKT U DEZE GAP-ANALYSE?</t>
  </si>
  <si>
    <t>Stap 1</t>
  </si>
  <si>
    <t>Lees per vereiste de toelichting in kolom D. Beoordeel eerlijk wat er vandaag al is.</t>
  </si>
  <si>
    <t>Stap 2</t>
  </si>
  <si>
    <t>Kies in kolom E (Huidige status) de best passende optie via de keuzelijst.</t>
  </si>
  <si>
    <t>Stap 3</t>
  </si>
  <si>
    <t>De Volwassenheidsscore in kolom F wordt automatisch berekend (0–3).</t>
  </si>
  <si>
    <t>Stap 4</t>
  </si>
  <si>
    <t>Zet in kolom G de Gap-prioriteit: begin met Hoog bij vereisten die "Afwezig" zijn.</t>
  </si>
  <si>
    <t>Stap 5</t>
  </si>
  <si>
    <t>Leg per vereiste aantoonbaar bewijs, een eigenaar en een streefdatum vast (kolom H–J).</t>
  </si>
  <si>
    <t>Stap 6</t>
  </si>
  <si>
    <t>Bekijk het tabblad Dashboard voor uw NIS2-volwassenheid (%) en interpretatie.</t>
  </si>
  <si>
    <t>Stap 7</t>
  </si>
  <si>
    <t>Gebruik de Referentie-kolom om door te pakken in de juiste Module/Register van de toolkit.</t>
  </si>
  <si>
    <t>Stap 8</t>
  </si>
  <si>
    <t>Herhaal de Gap-Analyse minimaal jaarlijks (M8) en bewaar elke versie als auditbewijs.</t>
  </si>
  <si>
    <t>STATUS-DEFINITIES (kolom E)</t>
  </si>
  <si>
    <t>Afwezig (0)</t>
  </si>
  <si>
    <t>Geen beleid, proces of techniek aanwezig voor deze vereiste.</t>
  </si>
  <si>
    <t>In ontwikkeling (1)</t>
  </si>
  <si>
    <t>Gestart maar nog niet operationeel of gedocumenteerd.</t>
  </si>
  <si>
    <t>Deels aanwezig (2)</t>
  </si>
  <si>
    <t>Aanwezig maar onvolledig, niet getest of niet aantoonbaar.</t>
  </si>
  <si>
    <t>Volledig aanwezig (3)</t>
  </si>
  <si>
    <t>Geïmplementeerd, gedocumenteerd én aantoonbaar. LET OP: alleen score 3 mét aantoonbaar bewijs in kolom H — zonder bewijs maximaal score 2.</t>
  </si>
  <si>
    <t>Niet van toepassing op uw organisatie. Motiveer elke N.v.t. in de bewijskolom; N.v.t. telt niet mee in het compliance-percentage.</t>
  </si>
  <si>
    <t>WANNEER GEBRUIK IK WAT?</t>
  </si>
  <si>
    <t>M1 — Zelfevaluatie</t>
  </si>
  <si>
    <t>VÓÓRAF: val ik onder NIS2? Bepaalt scope (essentieel/belangrijk) en sector.</t>
  </si>
  <si>
    <t>Deze Gap-Analyse</t>
  </si>
  <si>
    <t>NULMETING: hoe compliant ben ik t.o.v. álle vereisten? Levert de canonieke score.</t>
  </si>
  <si>
    <t>M2–M7 + Registers</t>
  </si>
  <si>
    <t>UITVOERING: dicht de gaps met concrete maatregelen, beleid en registers.</t>
  </si>
  <si>
    <t>M8 — Jaarlijkse Review</t>
  </si>
  <si>
    <t>HERIJKING: herhaal de Gap-Analyse jaarlijks; toon verbetering aan.</t>
  </si>
  <si>
    <t>Boardrapportage (PPTX)</t>
  </si>
  <si>
    <t>RAPPORTAGE: deze Gap-score + registers worden samengevat voor het bestuur.</t>
  </si>
  <si>
    <t>JURIDISCHE CONTEXT &amp; DISCLAIMER</t>
  </si>
  <si>
    <t>Grondslag</t>
  </si>
  <si>
    <t>NIS2-richtlijn (EU) 2022/2555, in Nederland geïmplementeerd via de Cyberbeveiligingswet (Cbw). Artikelverwijzingen volgen de NIS2-richtlijn.</t>
  </si>
  <si>
    <t>Aard</t>
  </si>
  <si>
    <t>Indicatieve zelfbeoordeling — geen formeel CMMI/ISO-maturiteitsmodel.</t>
  </si>
  <si>
    <t>Disclaimer</t>
  </si>
  <si>
    <t>Dit instrument is een hulpmiddel en vormt GEEN juridisch advies of onafhankelijke (assurance-)audit. Raadpleeg bij twijfel een gekwalificeerd adviseur of de toezichthouder.</t>
  </si>
</sst>
</file>

<file path=xl/styles.xml><?xml version="1.0" encoding="utf-8"?>
<styleSheet xmlns="http://schemas.openxmlformats.org/spreadsheetml/2006/main">
  <numFmts count="1">
    <numFmt numFmtId="164" formatCode="0%"/>
  </numFmts>
  <fonts count="2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9CA3AF"/>
      <name val="Calibri"/>
      <family val="2"/>
      <scheme val="minor"/>
    </font>
    <font>
      <i/>
      <sz val="9"/>
      <color rgb="FF1D4ED8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713F12"/>
      <name val="Calibri"/>
      <family val="2"/>
      <scheme val="minor"/>
    </font>
    <font>
      <b/>
      <sz val="8"/>
      <color rgb="FF14532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sz val="8"/>
      <color rgb="FF1D4ED8"/>
      <name val="Calibri"/>
      <family val="2"/>
      <scheme val="minor"/>
    </font>
    <font>
      <b/>
      <sz val="11"/>
      <color rgb="FF1C1C2E"/>
      <name val="Calibri"/>
      <family val="2"/>
      <scheme val="minor"/>
    </font>
    <font>
      <sz val="9"/>
      <color rgb="FF374151"/>
      <name val="Calibri"/>
      <family val="2"/>
      <scheme val="minor"/>
    </font>
    <font>
      <sz val="10"/>
      <color rgb="FF713F12"/>
      <name val="Calibri"/>
      <family val="2"/>
      <scheme val="minor"/>
    </font>
    <font>
      <b/>
      <sz val="11"/>
      <color rgb="FF374151"/>
      <name val="Calibri"/>
      <family val="2"/>
      <scheme val="minor"/>
    </font>
    <font>
      <sz val="11"/>
      <color rgb="FF374151"/>
      <name val="Calibri"/>
      <family val="2"/>
      <scheme val="minor"/>
    </font>
    <font>
      <i/>
      <sz val="8"/>
      <color rgb="FF6B7280"/>
      <name val="Calibri"/>
      <family val="2"/>
      <scheme val="minor"/>
    </font>
    <font>
      <i/>
      <sz val="8"/>
      <color rgb="FF92400E"/>
      <name val="Calibri"/>
      <family val="2"/>
      <scheme val="minor"/>
    </font>
    <font>
      <i/>
      <sz val="8"/>
      <color rgb="FF9CA3AF"/>
      <name val="Calibri"/>
      <family val="2"/>
      <scheme val="minor"/>
    </font>
    <font>
      <sz val="11"/>
      <color rgb="FF1C1C2E"/>
      <name val="Calibri"/>
      <family val="2"/>
      <scheme val="minor"/>
    </font>
    <font>
      <b/>
      <sz val="12"/>
      <color rgb="FF374151"/>
      <name val="Calibri"/>
      <family val="2"/>
      <scheme val="minor"/>
    </font>
    <font>
      <b/>
      <sz val="20"/>
      <color rgb="FF15803D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1C1C2E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1E3A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EF5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BEB"/>
        <bgColor indexed="64"/>
      </patternFill>
    </fill>
  </fills>
  <borders count="4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5" fillId="5" borderId="0" xfId="0" applyFont="1" applyFill="1" applyAlignment="1" applyProtection="1">
      <alignment horizontal="left" vertical="center"/>
      <protection locked="0"/>
    </xf>
    <xf numFmtId="0" fontId="6" fillId="6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 applyProtection="1">
      <alignment horizontal="center" vertical="center"/>
      <protection locked="0"/>
    </xf>
    <xf numFmtId="0" fontId="15" fillId="3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 applyProtection="1">
      <alignment horizontal="left" vertical="center" wrapText="1"/>
      <protection locked="0"/>
    </xf>
    <xf numFmtId="0" fontId="17" fillId="9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164" fontId="22" fillId="7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3" fillId="11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2.7109375" customWidth="1"/>
    <col min="3" max="3" width="26.7109375" customWidth="1"/>
    <col min="4" max="4" width="38.7109375" customWidth="1"/>
    <col min="5" max="5" width="17.7109375" customWidth="1"/>
    <col min="6" max="6" width="7.7109375" customWidth="1"/>
    <col min="7" max="7" width="9.7109375" customWidth="1"/>
    <col min="8" max="8" width="28.7109375" customWidth="1"/>
    <col min="9" max="9" width="16.7109375" customWidth="1"/>
    <col min="10" max="10" width="14.7109375" customWidth="1"/>
    <col min="11" max="11" width="20.7109375" customWidth="1"/>
  </cols>
  <sheetData>
    <row r="1" spans="1:11" ht="44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</row>
    <row r="2" spans="1:11" ht="2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8" customHeight="1">
      <c r="A3" s="4" t="s">
        <v>3</v>
      </c>
      <c r="B3" s="5" t="s">
        <v>4</v>
      </c>
      <c r="C3" s="5"/>
      <c r="D3" s="5"/>
      <c r="E3" s="4" t="s">
        <v>5</v>
      </c>
      <c r="F3" s="5" t="s">
        <v>6</v>
      </c>
      <c r="G3" s="3" t="s">
        <v>7</v>
      </c>
      <c r="H3" s="3"/>
      <c r="I3" s="3"/>
      <c r="J3" s="3"/>
      <c r="K3" s="3"/>
    </row>
    <row r="4" spans="1:11" ht="40" customHeight="1">
      <c r="A4" s="6" t="s">
        <v>8</v>
      </c>
      <c r="B4" s="6" t="s">
        <v>9</v>
      </c>
      <c r="C4" s="6" t="s">
        <v>10</v>
      </c>
      <c r="D4" s="6" t="s">
        <v>11</v>
      </c>
      <c r="E4" s="7" t="s">
        <v>12</v>
      </c>
      <c r="F4" s="8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6" t="s">
        <v>18</v>
      </c>
    </row>
    <row r="5" spans="1:11" ht="22" customHeight="1">
      <c r="A5" s="9" t="s">
        <v>19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46" customHeight="1">
      <c r="A6" s="10" t="s">
        <v>20</v>
      </c>
      <c r="B6" s="11" t="s">
        <v>21</v>
      </c>
      <c r="C6" s="12" t="s">
        <v>22</v>
      </c>
      <c r="D6" s="13" t="s">
        <v>23</v>
      </c>
      <c r="E6" s="14"/>
      <c r="F6" s="15">
        <f>IFERROR(IF(E6="N.v.t.","n.v.t.",CHOOSE(MATCH(E6,{"Afwezig","In ontwikkeling","Deels aanwezig","Volledig aanwezig"},0),0,1,2,3)),"")</f>
        <v>0</v>
      </c>
      <c r="G6" s="14"/>
      <c r="H6" s="16"/>
      <c r="I6" s="16"/>
      <c r="J6" s="16"/>
      <c r="K6" s="17" t="s">
        <v>24</v>
      </c>
    </row>
    <row r="7" spans="1:11" ht="46" customHeight="1">
      <c r="A7" s="18" t="s">
        <v>25</v>
      </c>
      <c r="B7" s="11" t="s">
        <v>26</v>
      </c>
      <c r="C7" s="19" t="s">
        <v>27</v>
      </c>
      <c r="D7" s="20" t="s">
        <v>28</v>
      </c>
      <c r="E7" s="14"/>
      <c r="F7" s="15">
        <f>IFERROR(IF(E7="N.v.t.","n.v.t.",CHOOSE(MATCH(E7,{"Afwezig","In ontwikkeling","Deels aanwezig","Volledig aanwezig"},0),0,1,2,3)),"")</f>
        <v>0</v>
      </c>
      <c r="G7" s="14"/>
      <c r="H7" s="16"/>
      <c r="I7" s="16"/>
      <c r="J7" s="16"/>
      <c r="K7" s="21" t="s">
        <v>29</v>
      </c>
    </row>
    <row r="8" spans="1:11" ht="46" customHeight="1">
      <c r="A8" s="10" t="s">
        <v>30</v>
      </c>
      <c r="B8" s="11" t="s">
        <v>31</v>
      </c>
      <c r="C8" s="12" t="s">
        <v>32</v>
      </c>
      <c r="D8" s="13" t="s">
        <v>33</v>
      </c>
      <c r="E8" s="14"/>
      <c r="F8" s="15">
        <f>IFERROR(IF(E8="N.v.t.","n.v.t.",CHOOSE(MATCH(E8,{"Afwezig","In ontwikkeling","Deels aanwezig","Volledig aanwezig"},0),0,1,2,3)),"")</f>
        <v>0</v>
      </c>
      <c r="G8" s="14"/>
      <c r="H8" s="16"/>
      <c r="I8" s="16"/>
      <c r="J8" s="16"/>
      <c r="K8" s="17" t="s">
        <v>34</v>
      </c>
    </row>
    <row r="9" spans="1:11" ht="46" customHeight="1">
      <c r="A9" s="18" t="s">
        <v>35</v>
      </c>
      <c r="B9" s="11" t="s">
        <v>31</v>
      </c>
      <c r="C9" s="19" t="s">
        <v>36</v>
      </c>
      <c r="D9" s="20" t="s">
        <v>37</v>
      </c>
      <c r="E9" s="14"/>
      <c r="F9" s="15">
        <f>IFERROR(IF(E9="N.v.t.","n.v.t.",CHOOSE(MATCH(E9,{"Afwezig","In ontwikkeling","Deels aanwezig","Volledig aanwezig"},0),0,1,2,3)),"")</f>
        <v>0</v>
      </c>
      <c r="G9" s="14"/>
      <c r="H9" s="16"/>
      <c r="I9" s="16"/>
      <c r="J9" s="16"/>
      <c r="K9" s="21" t="s">
        <v>24</v>
      </c>
    </row>
    <row r="10" spans="1:11" ht="46" customHeight="1">
      <c r="A10" s="10" t="s">
        <v>38</v>
      </c>
      <c r="B10" s="11" t="s">
        <v>31</v>
      </c>
      <c r="C10" s="12" t="s">
        <v>39</v>
      </c>
      <c r="D10" s="13" t="s">
        <v>40</v>
      </c>
      <c r="E10" s="14"/>
      <c r="F10" s="15">
        <f>IFERROR(IF(E10="N.v.t.","n.v.t.",CHOOSE(MATCH(E10,{"Afwezig","In ontwikkeling","Deels aanwezig","Volledig aanwezig"},0),0,1,2,3)),"")</f>
        <v>0</v>
      </c>
      <c r="G10" s="14"/>
      <c r="H10" s="16"/>
      <c r="I10" s="16"/>
      <c r="J10" s="16"/>
      <c r="K10" s="17" t="s">
        <v>41</v>
      </c>
    </row>
    <row r="11" spans="1:11" ht="22" customHeight="1">
      <c r="A11" s="9" t="s">
        <v>42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46" customHeight="1">
      <c r="A12" s="18" t="s">
        <v>43</v>
      </c>
      <c r="B12" s="11" t="s">
        <v>44</v>
      </c>
      <c r="C12" s="19" t="s">
        <v>45</v>
      </c>
      <c r="D12" s="20" t="s">
        <v>46</v>
      </c>
      <c r="E12" s="14"/>
      <c r="F12" s="15">
        <f>IFERROR(IF(E12="N.v.t.","n.v.t.",CHOOSE(MATCH(E12,{"Afwezig","In ontwikkeling","Deels aanwezig","Volledig aanwezig"},0),0,1,2,3)),"")</f>
        <v>0</v>
      </c>
      <c r="G12" s="14"/>
      <c r="H12" s="16"/>
      <c r="I12" s="16"/>
      <c r="J12" s="16"/>
      <c r="K12" s="21" t="s">
        <v>47</v>
      </c>
    </row>
    <row r="13" spans="1:11" ht="46" customHeight="1">
      <c r="A13" s="10" t="s">
        <v>48</v>
      </c>
      <c r="B13" s="11" t="s">
        <v>49</v>
      </c>
      <c r="C13" s="12" t="s">
        <v>50</v>
      </c>
      <c r="D13" s="13" t="s">
        <v>51</v>
      </c>
      <c r="E13" s="14"/>
      <c r="F13" s="15">
        <f>IFERROR(IF(E13="N.v.t.","n.v.t.",CHOOSE(MATCH(E13,{"Afwezig","In ontwikkeling","Deels aanwezig","Volledig aanwezig"},0),0,1,2,3)),"")</f>
        <v>0</v>
      </c>
      <c r="G13" s="14"/>
      <c r="H13" s="16"/>
      <c r="I13" s="16"/>
      <c r="J13" s="16"/>
      <c r="K13" s="17" t="s">
        <v>52</v>
      </c>
    </row>
    <row r="14" spans="1:11" ht="46" customHeight="1">
      <c r="A14" s="18" t="s">
        <v>53</v>
      </c>
      <c r="B14" s="11" t="s">
        <v>54</v>
      </c>
      <c r="C14" s="19" t="s">
        <v>55</v>
      </c>
      <c r="D14" s="20" t="s">
        <v>56</v>
      </c>
      <c r="E14" s="14"/>
      <c r="F14" s="15">
        <f>IFERROR(IF(E14="N.v.t.","n.v.t.",CHOOSE(MATCH(E14,{"Afwezig","In ontwikkeling","Deels aanwezig","Volledig aanwezig"},0),0,1,2,3)),"")</f>
        <v>0</v>
      </c>
      <c r="G14" s="14"/>
      <c r="H14" s="16"/>
      <c r="I14" s="16"/>
      <c r="J14" s="16"/>
      <c r="K14" s="21" t="s">
        <v>57</v>
      </c>
    </row>
    <row r="15" spans="1:11" ht="46" customHeight="1">
      <c r="A15" s="10" t="s">
        <v>58</v>
      </c>
      <c r="B15" s="11" t="s">
        <v>59</v>
      </c>
      <c r="C15" s="12" t="s">
        <v>60</v>
      </c>
      <c r="D15" s="13" t="s">
        <v>61</v>
      </c>
      <c r="E15" s="14"/>
      <c r="F15" s="15">
        <f>IFERROR(IF(E15="N.v.t.","n.v.t.",CHOOSE(MATCH(E15,{"Afwezig","In ontwikkeling","Deels aanwezig","Volledig aanwezig"},0),0,1,2,3)),"")</f>
        <v>0</v>
      </c>
      <c r="G15" s="14"/>
      <c r="H15" s="16"/>
      <c r="I15" s="16"/>
      <c r="J15" s="16"/>
      <c r="K15" s="17" t="s">
        <v>62</v>
      </c>
    </row>
    <row r="16" spans="1:11" ht="46" customHeight="1">
      <c r="A16" s="18" t="s">
        <v>63</v>
      </c>
      <c r="B16" s="11" t="s">
        <v>64</v>
      </c>
      <c r="C16" s="19" t="s">
        <v>65</v>
      </c>
      <c r="D16" s="20" t="s">
        <v>66</v>
      </c>
      <c r="E16" s="14"/>
      <c r="F16" s="15">
        <f>IFERROR(IF(E16="N.v.t.","n.v.t.",CHOOSE(MATCH(E16,{"Afwezig","In ontwikkeling","Deels aanwezig","Volledig aanwezig"},0),0,1,2,3)),"")</f>
        <v>0</v>
      </c>
      <c r="G16" s="14"/>
      <c r="H16" s="16"/>
      <c r="I16" s="16"/>
      <c r="J16" s="16"/>
      <c r="K16" s="21" t="s">
        <v>67</v>
      </c>
    </row>
    <row r="17" spans="1:11" ht="46" customHeight="1">
      <c r="A17" s="10" t="s">
        <v>68</v>
      </c>
      <c r="B17" s="11" t="s">
        <v>69</v>
      </c>
      <c r="C17" s="12" t="s">
        <v>70</v>
      </c>
      <c r="D17" s="13" t="s">
        <v>71</v>
      </c>
      <c r="E17" s="14"/>
      <c r="F17" s="15">
        <f>IFERROR(IF(E17="N.v.t.","n.v.t.",CHOOSE(MATCH(E17,{"Afwezig","In ontwikkeling","Deels aanwezig","Volledig aanwezig"},0),0,1,2,3)),"")</f>
        <v>0</v>
      </c>
      <c r="G17" s="14"/>
      <c r="H17" s="16"/>
      <c r="I17" s="16"/>
      <c r="J17" s="16"/>
      <c r="K17" s="17" t="s">
        <v>72</v>
      </c>
    </row>
    <row r="18" spans="1:11" ht="46" customHeight="1">
      <c r="A18" s="18" t="s">
        <v>73</v>
      </c>
      <c r="B18" s="11" t="s">
        <v>74</v>
      </c>
      <c r="C18" s="19" t="s">
        <v>75</v>
      </c>
      <c r="D18" s="20" t="s">
        <v>76</v>
      </c>
      <c r="E18" s="14"/>
      <c r="F18" s="15">
        <f>IFERROR(IF(E18="N.v.t.","n.v.t.",CHOOSE(MATCH(E18,{"Afwezig","In ontwikkeling","Deels aanwezig","Volledig aanwezig"},0),0,1,2,3)),"")</f>
        <v>0</v>
      </c>
      <c r="G18" s="14"/>
      <c r="H18" s="16"/>
      <c r="I18" s="16"/>
      <c r="J18" s="16"/>
      <c r="K18" s="21" t="s">
        <v>77</v>
      </c>
    </row>
    <row r="19" spans="1:11" ht="46" customHeight="1">
      <c r="A19" s="10" t="s">
        <v>78</v>
      </c>
      <c r="B19" s="11" t="s">
        <v>79</v>
      </c>
      <c r="C19" s="12" t="s">
        <v>80</v>
      </c>
      <c r="D19" s="13" t="s">
        <v>81</v>
      </c>
      <c r="E19" s="14"/>
      <c r="F19" s="15">
        <f>IFERROR(IF(E19="N.v.t.","n.v.t.",CHOOSE(MATCH(E19,{"Afwezig","In ontwikkeling","Deels aanwezig","Volledig aanwezig"},0),0,1,2,3)),"")</f>
        <v>0</v>
      </c>
      <c r="G19" s="14"/>
      <c r="H19" s="16"/>
      <c r="I19" s="16"/>
      <c r="J19" s="16"/>
      <c r="K19" s="17" t="s">
        <v>67</v>
      </c>
    </row>
    <row r="20" spans="1:11" ht="46" customHeight="1">
      <c r="A20" s="18" t="s">
        <v>82</v>
      </c>
      <c r="B20" s="11" t="s">
        <v>83</v>
      </c>
      <c r="C20" s="19" t="s">
        <v>84</v>
      </c>
      <c r="D20" s="20" t="s">
        <v>85</v>
      </c>
      <c r="E20" s="14"/>
      <c r="F20" s="15">
        <f>IFERROR(IF(E20="N.v.t.","n.v.t.",CHOOSE(MATCH(E20,{"Afwezig","In ontwikkeling","Deels aanwezig","Volledig aanwezig"},0),0,1,2,3)),"")</f>
        <v>0</v>
      </c>
      <c r="G20" s="14"/>
      <c r="H20" s="16"/>
      <c r="I20" s="16"/>
      <c r="J20" s="16"/>
      <c r="K20" s="21" t="s">
        <v>86</v>
      </c>
    </row>
    <row r="21" spans="1:11" ht="46" customHeight="1">
      <c r="A21" s="10" t="s">
        <v>87</v>
      </c>
      <c r="B21" s="11" t="s">
        <v>88</v>
      </c>
      <c r="C21" s="12" t="s">
        <v>89</v>
      </c>
      <c r="D21" s="13" t="s">
        <v>90</v>
      </c>
      <c r="E21" s="14"/>
      <c r="F21" s="15">
        <f>IFERROR(IF(E21="N.v.t.","n.v.t.",CHOOSE(MATCH(E21,{"Afwezig","In ontwikkeling","Deels aanwezig","Volledig aanwezig"},0),0,1,2,3)),"")</f>
        <v>0</v>
      </c>
      <c r="G21" s="14"/>
      <c r="H21" s="16"/>
      <c r="I21" s="16"/>
      <c r="J21" s="16"/>
      <c r="K21" s="17" t="s">
        <v>67</v>
      </c>
    </row>
    <row r="22" spans="1:11" ht="22" customHeight="1">
      <c r="A22" s="9" t="s">
        <v>91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46" customHeight="1">
      <c r="A23" s="18" t="s">
        <v>92</v>
      </c>
      <c r="B23" s="11" t="s">
        <v>93</v>
      </c>
      <c r="C23" s="19" t="s">
        <v>94</v>
      </c>
      <c r="D23" s="20" t="s">
        <v>95</v>
      </c>
      <c r="E23" s="14"/>
      <c r="F23" s="15">
        <f>IFERROR(IF(E23="N.v.t.","n.v.t.",CHOOSE(MATCH(E23,{"Afwezig","In ontwikkeling","Deels aanwezig","Volledig aanwezig"},0),0,1,2,3)),"")</f>
        <v>0</v>
      </c>
      <c r="G23" s="14"/>
      <c r="H23" s="16"/>
      <c r="I23" s="16"/>
      <c r="J23" s="16"/>
      <c r="K23" s="21" t="s">
        <v>52</v>
      </c>
    </row>
    <row r="24" spans="1:11" ht="46" customHeight="1">
      <c r="A24" s="10" t="s">
        <v>96</v>
      </c>
      <c r="B24" s="11" t="s">
        <v>97</v>
      </c>
      <c r="C24" s="12" t="s">
        <v>98</v>
      </c>
      <c r="D24" s="13" t="s">
        <v>99</v>
      </c>
      <c r="E24" s="14"/>
      <c r="F24" s="15">
        <f>IFERROR(IF(E24="N.v.t.","n.v.t.",CHOOSE(MATCH(E24,{"Afwezig","In ontwikkeling","Deels aanwezig","Volledig aanwezig"},0),0,1,2,3)),"")</f>
        <v>0</v>
      </c>
      <c r="G24" s="14"/>
      <c r="H24" s="16"/>
      <c r="I24" s="16"/>
      <c r="J24" s="16"/>
      <c r="K24" s="17" t="s">
        <v>52</v>
      </c>
    </row>
    <row r="25" spans="1:11" ht="46" customHeight="1">
      <c r="A25" s="18" t="s">
        <v>100</v>
      </c>
      <c r="B25" s="11" t="s">
        <v>101</v>
      </c>
      <c r="C25" s="19" t="s">
        <v>102</v>
      </c>
      <c r="D25" s="20" t="s">
        <v>103</v>
      </c>
      <c r="E25" s="14"/>
      <c r="F25" s="15">
        <f>IFERROR(IF(E25="N.v.t.","n.v.t.",CHOOSE(MATCH(E25,{"Afwezig","In ontwikkeling","Deels aanwezig","Volledig aanwezig"},0),0,1,2,3)),"")</f>
        <v>0</v>
      </c>
      <c r="G25" s="14"/>
      <c r="H25" s="16"/>
      <c r="I25" s="16"/>
      <c r="J25" s="16"/>
      <c r="K25" s="21" t="s">
        <v>67</v>
      </c>
    </row>
    <row r="26" spans="1:11" ht="46" customHeight="1">
      <c r="A26" s="10" t="s">
        <v>104</v>
      </c>
      <c r="B26" s="11" t="s">
        <v>105</v>
      </c>
      <c r="C26" s="12" t="s">
        <v>106</v>
      </c>
      <c r="D26" s="13" t="s">
        <v>107</v>
      </c>
      <c r="E26" s="14"/>
      <c r="F26" s="15">
        <f>IFERROR(IF(E26="N.v.t.","n.v.t.",CHOOSE(MATCH(E26,{"Afwezig","In ontwikkeling","Deels aanwezig","Volledig aanwezig"},0),0,1,2,3)),"")</f>
        <v>0</v>
      </c>
      <c r="G26" s="14"/>
      <c r="H26" s="16"/>
      <c r="I26" s="16"/>
      <c r="J26" s="16"/>
      <c r="K26" s="17" t="s">
        <v>108</v>
      </c>
    </row>
    <row r="27" spans="1:11" ht="22" customHeight="1">
      <c r="A27" s="9" t="s">
        <v>109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ht="46" customHeight="1">
      <c r="A28" s="18" t="s">
        <v>110</v>
      </c>
      <c r="B28" s="11" t="s">
        <v>111</v>
      </c>
      <c r="C28" s="19" t="s">
        <v>112</v>
      </c>
      <c r="D28" s="20" t="s">
        <v>113</v>
      </c>
      <c r="E28" s="14"/>
      <c r="F28" s="15">
        <f>IFERROR(IF(E28="N.v.t.","n.v.t.",CHOOSE(MATCH(E28,{"Afwezig","In ontwikkeling","Deels aanwezig","Volledig aanwezig"},0),0,1,2,3)),"")</f>
        <v>0</v>
      </c>
      <c r="G28" s="14"/>
      <c r="H28" s="16"/>
      <c r="I28" s="16"/>
      <c r="J28" s="16"/>
      <c r="K28" s="21" t="s">
        <v>24</v>
      </c>
    </row>
    <row r="29" spans="1:11" ht="46" customHeight="1">
      <c r="A29" s="10" t="s">
        <v>114</v>
      </c>
      <c r="B29" s="11" t="s">
        <v>115</v>
      </c>
      <c r="C29" s="12" t="s">
        <v>116</v>
      </c>
      <c r="D29" s="13" t="s">
        <v>117</v>
      </c>
      <c r="E29" s="14"/>
      <c r="F29" s="15">
        <f>IFERROR(IF(E29="N.v.t.","n.v.t.",CHOOSE(MATCH(E29,{"Afwezig","In ontwikkeling","Deels aanwezig","Volledig aanwezig"},0),0,1,2,3)),"")</f>
        <v>0</v>
      </c>
      <c r="G29" s="14"/>
      <c r="H29" s="16"/>
      <c r="I29" s="16"/>
      <c r="J29" s="16"/>
      <c r="K29" s="17" t="s">
        <v>24</v>
      </c>
    </row>
    <row r="30" spans="1:11" ht="46" customHeight="1">
      <c r="A30" s="18" t="s">
        <v>118</v>
      </c>
      <c r="B30" s="11" t="s">
        <v>31</v>
      </c>
      <c r="C30" s="19" t="s">
        <v>119</v>
      </c>
      <c r="D30" s="20" t="s">
        <v>120</v>
      </c>
      <c r="E30" s="14"/>
      <c r="F30" s="15">
        <f>IFERROR(IF(E30="N.v.t.","n.v.t.",CHOOSE(MATCH(E30,{"Afwezig","In ontwikkeling","Deels aanwezig","Volledig aanwezig"},0),0,1,2,3)),"")</f>
        <v>0</v>
      </c>
      <c r="G30" s="14"/>
      <c r="H30" s="16"/>
      <c r="I30" s="16"/>
      <c r="J30" s="16"/>
      <c r="K30" s="21" t="s">
        <v>121</v>
      </c>
    </row>
    <row r="31" spans="1:11" ht="46" customHeight="1">
      <c r="A31" s="10" t="s">
        <v>122</v>
      </c>
      <c r="B31" s="11" t="s">
        <v>123</v>
      </c>
      <c r="C31" s="12" t="s">
        <v>124</v>
      </c>
      <c r="D31" s="13" t="s">
        <v>125</v>
      </c>
      <c r="E31" s="14"/>
      <c r="F31" s="15">
        <f>IFERROR(IF(E31="N.v.t.","n.v.t.",CHOOSE(MATCH(E31,{"Afwezig","In ontwikkeling","Deels aanwezig","Volledig aanwezig"},0),0,1,2,3)),"")</f>
        <v>0</v>
      </c>
      <c r="G31" s="14"/>
      <c r="H31" s="16"/>
      <c r="I31" s="16"/>
      <c r="J31" s="16"/>
      <c r="K31" s="17" t="s">
        <v>126</v>
      </c>
    </row>
    <row r="32" spans="1:11" ht="26" customHeight="1">
      <c r="A32" s="22" t="s">
        <v>127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8" customHeight="1">
      <c r="A33" s="23" t="s">
        <v>128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</row>
  </sheetData>
  <sheetProtection sheet="1" objects="1" scenarios="1"/>
  <mergeCells count="11">
    <mergeCell ref="A1:G1"/>
    <mergeCell ref="H1:K1"/>
    <mergeCell ref="A2:K2"/>
    <mergeCell ref="B3:D3"/>
    <mergeCell ref="G3:K3"/>
    <mergeCell ref="A5:K5"/>
    <mergeCell ref="A11:K11"/>
    <mergeCell ref="A22:K22"/>
    <mergeCell ref="A27:K27"/>
    <mergeCell ref="A32:K32"/>
    <mergeCell ref="A33:K33"/>
  </mergeCells>
  <dataValidations count="46">
    <dataValidation type="list" allowBlank="1" showInputMessage="1" showErrorMessage="1" sqref="E6">
      <formula1>"Afwezig,In ontwikkeling,Deels aanwezig,Volledig aanwezig,N.v.t."</formula1>
    </dataValidation>
    <dataValidation type="list" allowBlank="1" showInputMessage="1" showErrorMessage="1" sqref="G6">
      <formula1>"Hoog,Middel,Laag"</formula1>
    </dataValidation>
    <dataValidation type="list" allowBlank="1" showInputMessage="1" showErrorMessage="1" sqref="E7">
      <formula1>"Afwezig,In ontwikkeling,Deels aanwezig,Volledig aanwezig,N.v.t."</formula1>
    </dataValidation>
    <dataValidation type="list" allowBlank="1" showInputMessage="1" showErrorMessage="1" sqref="G7">
      <formula1>"Hoog,Middel,Laag"</formula1>
    </dataValidation>
    <dataValidation type="list" allowBlank="1" showInputMessage="1" showErrorMessage="1" sqref="E8">
      <formula1>"Afwezig,In ontwikkeling,Deels aanwezig,Volledig aanwezig,N.v.t."</formula1>
    </dataValidation>
    <dataValidation type="list" allowBlank="1" showInputMessage="1" showErrorMessage="1" sqref="G8">
      <formula1>"Hoog,Middel,Laag"</formula1>
    </dataValidation>
    <dataValidation type="list" allowBlank="1" showInputMessage="1" showErrorMessage="1" sqref="E9">
      <formula1>"Afwezig,In ontwikkeling,Deels aanwezig,Volledig aanwezig,N.v.t."</formula1>
    </dataValidation>
    <dataValidation type="list" allowBlank="1" showInputMessage="1" showErrorMessage="1" sqref="G9">
      <formula1>"Hoog,Middel,Laag"</formula1>
    </dataValidation>
    <dataValidation type="list" allowBlank="1" showInputMessage="1" showErrorMessage="1" sqref="E10">
      <formula1>"Afwezig,In ontwikkeling,Deels aanwezig,Volledig aanwezig,N.v.t."</formula1>
    </dataValidation>
    <dataValidation type="list" allowBlank="1" showInputMessage="1" showErrorMessage="1" sqref="G10">
      <formula1>"Hoog,Middel,Laag"</formula1>
    </dataValidation>
    <dataValidation type="list" allowBlank="1" showInputMessage="1" showErrorMessage="1" sqref="E12">
      <formula1>"Afwezig,In ontwikkeling,Deels aanwezig,Volledig aanwezig,N.v.t."</formula1>
    </dataValidation>
    <dataValidation type="list" allowBlank="1" showInputMessage="1" showErrorMessage="1" sqref="G12">
      <formula1>"Hoog,Middel,Laag"</formula1>
    </dataValidation>
    <dataValidation type="list" allowBlank="1" showInputMessage="1" showErrorMessage="1" sqref="E13">
      <formula1>"Afwezig,In ontwikkeling,Deels aanwezig,Volledig aanwezig,N.v.t."</formula1>
    </dataValidation>
    <dataValidation type="list" allowBlank="1" showInputMessage="1" showErrorMessage="1" sqref="G13">
      <formula1>"Hoog,Middel,Laag"</formula1>
    </dataValidation>
    <dataValidation type="list" allowBlank="1" showInputMessage="1" showErrorMessage="1" sqref="E14">
      <formula1>"Afwezig,In ontwikkeling,Deels aanwezig,Volledig aanwezig,N.v.t."</formula1>
    </dataValidation>
    <dataValidation type="list" allowBlank="1" showInputMessage="1" showErrorMessage="1" sqref="G14">
      <formula1>"Hoog,Middel,Laag"</formula1>
    </dataValidation>
    <dataValidation type="list" allowBlank="1" showInputMessage="1" showErrorMessage="1" sqref="E15">
      <formula1>"Afwezig,In ontwikkeling,Deels aanwezig,Volledig aanwezig,N.v.t."</formula1>
    </dataValidation>
    <dataValidation type="list" allowBlank="1" showInputMessage="1" showErrorMessage="1" sqref="G15">
      <formula1>"Hoog,Middel,Laag"</formula1>
    </dataValidation>
    <dataValidation type="list" allowBlank="1" showInputMessage="1" showErrorMessage="1" sqref="E16">
      <formula1>"Afwezig,In ontwikkeling,Deels aanwezig,Volledig aanwezig,N.v.t."</formula1>
    </dataValidation>
    <dataValidation type="list" allowBlank="1" showInputMessage="1" showErrorMessage="1" sqref="G16">
      <formula1>"Hoog,Middel,Laag"</formula1>
    </dataValidation>
    <dataValidation type="list" allowBlank="1" showInputMessage="1" showErrorMessage="1" sqref="E17">
      <formula1>"Afwezig,In ontwikkeling,Deels aanwezig,Volledig aanwezig,N.v.t."</formula1>
    </dataValidation>
    <dataValidation type="list" allowBlank="1" showInputMessage="1" showErrorMessage="1" sqref="G17">
      <formula1>"Hoog,Middel,Laag"</formula1>
    </dataValidation>
    <dataValidation type="list" allowBlank="1" showInputMessage="1" showErrorMessage="1" sqref="E18">
      <formula1>"Afwezig,In ontwikkeling,Deels aanwezig,Volledig aanwezig,N.v.t."</formula1>
    </dataValidation>
    <dataValidation type="list" allowBlank="1" showInputMessage="1" showErrorMessage="1" sqref="G18">
      <formula1>"Hoog,Middel,Laag"</formula1>
    </dataValidation>
    <dataValidation type="list" allowBlank="1" showInputMessage="1" showErrorMessage="1" sqref="E19">
      <formula1>"Afwezig,In ontwikkeling,Deels aanwezig,Volledig aanwezig,N.v.t."</formula1>
    </dataValidation>
    <dataValidation type="list" allowBlank="1" showInputMessage="1" showErrorMessage="1" sqref="G19">
      <formula1>"Hoog,Middel,Laag"</formula1>
    </dataValidation>
    <dataValidation type="list" allowBlank="1" showInputMessage="1" showErrorMessage="1" sqref="E20">
      <formula1>"Afwezig,In ontwikkeling,Deels aanwezig,Volledig aanwezig,N.v.t."</formula1>
    </dataValidation>
    <dataValidation type="list" allowBlank="1" showInputMessage="1" showErrorMessage="1" sqref="G20">
      <formula1>"Hoog,Middel,Laag"</formula1>
    </dataValidation>
    <dataValidation type="list" allowBlank="1" showInputMessage="1" showErrorMessage="1" sqref="E21">
      <formula1>"Afwezig,In ontwikkeling,Deels aanwezig,Volledig aanwezig,N.v.t."</formula1>
    </dataValidation>
    <dataValidation type="list" allowBlank="1" showInputMessage="1" showErrorMessage="1" sqref="G21">
      <formula1>"Hoog,Middel,Laag"</formula1>
    </dataValidation>
    <dataValidation type="list" allowBlank="1" showInputMessage="1" showErrorMessage="1" sqref="E23">
      <formula1>"Afwezig,In ontwikkeling,Deels aanwezig,Volledig aanwezig,N.v.t."</formula1>
    </dataValidation>
    <dataValidation type="list" allowBlank="1" showInputMessage="1" showErrorMessage="1" sqref="G23">
      <formula1>"Hoog,Middel,Laag"</formula1>
    </dataValidation>
    <dataValidation type="list" allowBlank="1" showInputMessage="1" showErrorMessage="1" sqref="E24">
      <formula1>"Afwezig,In ontwikkeling,Deels aanwezig,Volledig aanwezig,N.v.t."</formula1>
    </dataValidation>
    <dataValidation type="list" allowBlank="1" showInputMessage="1" showErrorMessage="1" sqref="G24">
      <formula1>"Hoog,Middel,Laag"</formula1>
    </dataValidation>
    <dataValidation type="list" allowBlank="1" showInputMessage="1" showErrorMessage="1" sqref="E25">
      <formula1>"Afwezig,In ontwikkeling,Deels aanwezig,Volledig aanwezig,N.v.t."</formula1>
    </dataValidation>
    <dataValidation type="list" allowBlank="1" showInputMessage="1" showErrorMessage="1" sqref="G25">
      <formula1>"Hoog,Middel,Laag"</formula1>
    </dataValidation>
    <dataValidation type="list" allowBlank="1" showInputMessage="1" showErrorMessage="1" sqref="E26">
      <formula1>"Afwezig,In ontwikkeling,Deels aanwezig,Volledig aanwezig,N.v.t."</formula1>
    </dataValidation>
    <dataValidation type="list" allowBlank="1" showInputMessage="1" showErrorMessage="1" sqref="G26">
      <formula1>"Hoog,Middel,Laag"</formula1>
    </dataValidation>
    <dataValidation type="list" allowBlank="1" showInputMessage="1" showErrorMessage="1" sqref="E28">
      <formula1>"Afwezig,In ontwikkeling,Deels aanwezig,Volledig aanwezig,N.v.t."</formula1>
    </dataValidation>
    <dataValidation type="list" allowBlank="1" showInputMessage="1" showErrorMessage="1" sqref="G28">
      <formula1>"Hoog,Middel,Laag"</formula1>
    </dataValidation>
    <dataValidation type="list" allowBlank="1" showInputMessage="1" showErrorMessage="1" sqref="E29">
      <formula1>"Afwezig,In ontwikkeling,Deels aanwezig,Volledig aanwezig,N.v.t."</formula1>
    </dataValidation>
    <dataValidation type="list" allowBlank="1" showInputMessage="1" showErrorMessage="1" sqref="G29">
      <formula1>"Hoog,Middel,Laag"</formula1>
    </dataValidation>
    <dataValidation type="list" allowBlank="1" showInputMessage="1" showErrorMessage="1" sqref="E30">
      <formula1>"Afwezig,In ontwikkeling,Deels aanwezig,Volledig aanwezig,N.v.t."</formula1>
    </dataValidation>
    <dataValidation type="list" allowBlank="1" showInputMessage="1" showErrorMessage="1" sqref="G30">
      <formula1>"Hoog,Middel,Laag"</formula1>
    </dataValidation>
    <dataValidation type="list" allowBlank="1" showInputMessage="1" showErrorMessage="1" sqref="E31">
      <formula1>"Afwezig,In ontwikkeling,Deels aanwezig,Volledig aanwezig,N.v.t."</formula1>
    </dataValidation>
    <dataValidation type="list" allowBlank="1" showInputMessage="1" showErrorMessage="1" sqref="G31">
      <formula1>"Hoog,Middel,Laag"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3.7109375" customWidth="1"/>
    <col min="2" max="2" width="34.7109375" customWidth="1"/>
    <col min="3" max="3" width="16.7109375" customWidth="1"/>
    <col min="4" max="4" width="40.7109375" customWidth="1"/>
  </cols>
  <sheetData>
    <row r="1" spans="1:4" ht="44" customHeight="1">
      <c r="A1" s="1" t="s">
        <v>129</v>
      </c>
      <c r="B1" s="1"/>
      <c r="C1" s="1"/>
      <c r="D1" s="1"/>
    </row>
    <row r="2" spans="1:4" ht="20" customHeight="1">
      <c r="A2" s="2" t="s">
        <v>130</v>
      </c>
      <c r="B2" s="2"/>
      <c r="C2" s="2"/>
      <c r="D2" s="2"/>
    </row>
    <row r="4" spans="1:4">
      <c r="B4" s="24" t="s">
        <v>131</v>
      </c>
      <c r="C4" s="24"/>
      <c r="D4" s="24"/>
    </row>
    <row r="5" spans="1:4" ht="24" customHeight="1">
      <c r="B5" s="25" t="s">
        <v>132</v>
      </c>
      <c r="C5" s="26">
        <f>COUNTIF('Gap-Analyse'!$E$5:$E$36,"Afwezig")+COUNTIF('Gap-Analyse'!$E$5:$E$36,"In ontwikkeling")+COUNTIF('Gap-Analyse'!$E$5:$E$36,"Deels aanwezig")+COUNTIF('Gap-Analyse'!$E$5:$E$36,"Volledig aanwezig")</f>
        <v>0</v>
      </c>
    </row>
    <row r="6" spans="1:4" ht="24" customHeight="1">
      <c r="B6" s="25" t="s">
        <v>133</v>
      </c>
      <c r="C6" s="26">
        <f>COUNTIF('Gap-Analyse'!$E$5:$E$36,"Volledig aanwezig")</f>
        <v>0</v>
      </c>
    </row>
    <row r="7" spans="1:4" ht="24" customHeight="1">
      <c r="B7" s="25" t="s">
        <v>134</v>
      </c>
      <c r="C7" s="26">
        <f>COUNTIF('Gap-Analyse'!$E$5:$E$36,"Deels aanwezig")</f>
        <v>0</v>
      </c>
    </row>
    <row r="8" spans="1:4" ht="24" customHeight="1">
      <c r="B8" s="25" t="s">
        <v>135</v>
      </c>
      <c r="C8" s="26">
        <f>COUNTIF('Gap-Analyse'!$E$5:$E$36,"In ontwikkeling")</f>
        <v>0</v>
      </c>
    </row>
    <row r="9" spans="1:4" ht="24" customHeight="1">
      <c r="B9" s="25" t="s">
        <v>136</v>
      </c>
      <c r="C9" s="26">
        <f>COUNTIF('Gap-Analyse'!$E$5:$E$36,"Afwezig")</f>
        <v>0</v>
      </c>
    </row>
    <row r="10" spans="1:4" ht="24" customHeight="1">
      <c r="B10" s="25" t="s">
        <v>137</v>
      </c>
      <c r="C10" s="26">
        <f>COUNTIF('Gap-Analyse'!$E$5:$E$36,"N.v.t.")</f>
        <v>0</v>
      </c>
    </row>
    <row r="12" spans="1:4" ht="28" customHeight="1">
      <c r="B12" s="24" t="s">
        <v>138</v>
      </c>
      <c r="C12" s="24"/>
      <c r="D12" s="24"/>
    </row>
    <row r="13" spans="1:4" ht="46" customHeight="1">
      <c r="B13" s="25" t="s">
        <v>139</v>
      </c>
      <c r="C13" s="27">
        <f>IFERROR(SUM('Gap-Analyse'!$F$5:$F$36)/(3*(COUNTIF('Gap-Analyse'!$E$5:$E$36,"Afwezig")+COUNTIF('Gap-Analyse'!$E$5:$E$36,"In ontwikkeling")+COUNTIF('Gap-Analyse'!$E$5:$E$36,"Deels aanwezig")+COUNTIF('Gap-Analyse'!$E$5:$E$36,"Volledig aanwezig"))),0)</f>
        <v>0</v>
      </c>
      <c r="D13" s="28" t="s">
        <v>140</v>
      </c>
    </row>
    <row r="15" spans="1:4" ht="28" customHeight="1">
      <c r="B15" s="24" t="s">
        <v>141</v>
      </c>
      <c r="C15" s="24"/>
      <c r="D15" s="24"/>
    </row>
    <row r="16" spans="1:4" ht="22" customHeight="1">
      <c r="B16" s="25" t="s">
        <v>142</v>
      </c>
      <c r="C16" s="29" t="s">
        <v>143</v>
      </c>
      <c r="D16" s="29"/>
    </row>
    <row r="17" spans="2:4" ht="22" customHeight="1">
      <c r="B17" s="25" t="s">
        <v>144</v>
      </c>
      <c r="C17" s="29" t="s">
        <v>145</v>
      </c>
      <c r="D17" s="29"/>
    </row>
    <row r="18" spans="2:4" ht="22" customHeight="1">
      <c r="B18" s="25" t="s">
        <v>146</v>
      </c>
      <c r="C18" s="29" t="s">
        <v>147</v>
      </c>
      <c r="D18" s="29"/>
    </row>
    <row r="19" spans="2:4" ht="22" customHeight="1">
      <c r="B19" s="25" t="s">
        <v>148</v>
      </c>
      <c r="C19" s="29" t="s">
        <v>149</v>
      </c>
      <c r="D19" s="29"/>
    </row>
    <row r="21" spans="2:4" ht="30" customHeight="1">
      <c r="B21" s="22" t="s">
        <v>150</v>
      </c>
      <c r="C21" s="22"/>
      <c r="D21" s="22"/>
    </row>
    <row r="22" spans="2:4">
      <c r="B22" s="30" t="s">
        <v>151</v>
      </c>
      <c r="C22" s="30"/>
      <c r="D22" s="30"/>
    </row>
  </sheetData>
  <sheetProtection sheet="1" objects="1" scenarios="1"/>
  <mergeCells count="11">
    <mergeCell ref="A1:D1"/>
    <mergeCell ref="A2:D2"/>
    <mergeCell ref="B4:D4"/>
    <mergeCell ref="B12:D12"/>
    <mergeCell ref="B15:D15"/>
    <mergeCell ref="C16:D16"/>
    <mergeCell ref="C17:D17"/>
    <mergeCell ref="C18:D18"/>
    <mergeCell ref="C19:D19"/>
    <mergeCell ref="B21:D21"/>
    <mergeCell ref="B22:D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zoomScale="90" zoomScaleNormal="90" workbookViewId="0"/>
  </sheetViews>
  <sheetFormatPr defaultRowHeight="15"/>
  <cols>
    <col min="1" max="1" width="4.7109375" customWidth="1"/>
    <col min="2" max="2" width="30.7109375" customWidth="1"/>
    <col min="3" max="3" width="62.7109375" customWidth="1"/>
  </cols>
  <sheetData>
    <row r="1" spans="1:3" ht="44" customHeight="1">
      <c r="A1" s="1" t="s">
        <v>152</v>
      </c>
      <c r="B1" s="1"/>
      <c r="C1" s="1"/>
    </row>
    <row r="2" spans="1:3" ht="20" customHeight="1">
      <c r="A2" s="2" t="s">
        <v>153</v>
      </c>
      <c r="B2" s="2"/>
      <c r="C2" s="2" t="s">
        <v>154</v>
      </c>
    </row>
    <row r="5" spans="1:3" ht="28" customHeight="1">
      <c r="A5" s="24" t="s">
        <v>155</v>
      </c>
      <c r="B5" s="24"/>
      <c r="C5" s="24"/>
    </row>
    <row r="6" spans="1:3" ht="24" customHeight="1">
      <c r="A6" s="31"/>
      <c r="B6" s="32" t="s">
        <v>156</v>
      </c>
      <c r="C6" s="31" t="s">
        <v>157</v>
      </c>
    </row>
    <row r="7" spans="1:3" ht="24" customHeight="1">
      <c r="A7" s="29"/>
      <c r="B7" s="32" t="s">
        <v>158</v>
      </c>
      <c r="C7" s="29" t="s">
        <v>159</v>
      </c>
    </row>
    <row r="8" spans="1:3" ht="24" customHeight="1">
      <c r="A8" s="31"/>
      <c r="B8" s="32" t="s">
        <v>160</v>
      </c>
      <c r="C8" s="31" t="s">
        <v>161</v>
      </c>
    </row>
    <row r="9" spans="1:3" ht="24" customHeight="1">
      <c r="A9" s="29"/>
      <c r="B9" s="32" t="s">
        <v>162</v>
      </c>
      <c r="C9" s="29" t="s">
        <v>163</v>
      </c>
    </row>
    <row r="10" spans="1:3" ht="24" customHeight="1">
      <c r="A10" s="31"/>
      <c r="B10" s="32" t="s">
        <v>164</v>
      </c>
      <c r="C10" s="31" t="s">
        <v>165</v>
      </c>
    </row>
    <row r="11" spans="1:3" ht="24" customHeight="1">
      <c r="A11" s="29"/>
      <c r="B11" s="32" t="s">
        <v>166</v>
      </c>
      <c r="C11" s="29" t="s">
        <v>167</v>
      </c>
    </row>
    <row r="12" spans="1:3" ht="24" customHeight="1">
      <c r="A12" s="31"/>
      <c r="B12" s="32" t="s">
        <v>168</v>
      </c>
      <c r="C12" s="31" t="s">
        <v>169</v>
      </c>
    </row>
    <row r="13" spans="1:3" ht="24" customHeight="1">
      <c r="A13" s="29"/>
      <c r="B13" s="32" t="s">
        <v>170</v>
      </c>
      <c r="C13" s="29" t="s">
        <v>171</v>
      </c>
    </row>
    <row r="15" spans="1:3" ht="28" customHeight="1">
      <c r="A15" s="24" t="s">
        <v>172</v>
      </c>
      <c r="B15" s="24"/>
      <c r="C15" s="24"/>
    </row>
    <row r="16" spans="1:3" ht="30" customHeight="1">
      <c r="A16" s="31"/>
      <c r="B16" s="32" t="s">
        <v>173</v>
      </c>
      <c r="C16" s="31" t="s">
        <v>174</v>
      </c>
    </row>
    <row r="17" spans="1:3" ht="30" customHeight="1">
      <c r="A17" s="29"/>
      <c r="B17" s="32" t="s">
        <v>175</v>
      </c>
      <c r="C17" s="29" t="s">
        <v>176</v>
      </c>
    </row>
    <row r="18" spans="1:3" ht="30" customHeight="1">
      <c r="A18" s="31"/>
      <c r="B18" s="32" t="s">
        <v>177</v>
      </c>
      <c r="C18" s="31" t="s">
        <v>178</v>
      </c>
    </row>
    <row r="19" spans="1:3" ht="30" customHeight="1">
      <c r="A19" s="29"/>
      <c r="B19" s="32" t="s">
        <v>179</v>
      </c>
      <c r="C19" s="29" t="s">
        <v>180</v>
      </c>
    </row>
    <row r="20" spans="1:3" ht="30" customHeight="1">
      <c r="A20" s="31"/>
      <c r="B20" s="32" t="s">
        <v>137</v>
      </c>
      <c r="C20" s="31" t="s">
        <v>181</v>
      </c>
    </row>
    <row r="22" spans="1:3" ht="28" customHeight="1">
      <c r="A22" s="24" t="s">
        <v>182</v>
      </c>
      <c r="B22" s="24"/>
      <c r="C22" s="24"/>
    </row>
    <row r="23" spans="1:3" ht="24" customHeight="1">
      <c r="A23" s="29"/>
      <c r="B23" s="32" t="s">
        <v>183</v>
      </c>
      <c r="C23" s="29" t="s">
        <v>184</v>
      </c>
    </row>
    <row r="24" spans="1:3" ht="24" customHeight="1">
      <c r="A24" s="31"/>
      <c r="B24" s="32" t="s">
        <v>185</v>
      </c>
      <c r="C24" s="31" t="s">
        <v>186</v>
      </c>
    </row>
    <row r="25" spans="1:3" ht="24" customHeight="1">
      <c r="A25" s="29"/>
      <c r="B25" s="32" t="s">
        <v>187</v>
      </c>
      <c r="C25" s="29" t="s">
        <v>188</v>
      </c>
    </row>
    <row r="26" spans="1:3" ht="24" customHeight="1">
      <c r="A26" s="31"/>
      <c r="B26" s="32" t="s">
        <v>189</v>
      </c>
      <c r="C26" s="31" t="s">
        <v>190</v>
      </c>
    </row>
    <row r="27" spans="1:3" ht="24" customHeight="1">
      <c r="A27" s="29"/>
      <c r="B27" s="32" t="s">
        <v>191</v>
      </c>
      <c r="C27" s="29" t="s">
        <v>192</v>
      </c>
    </row>
    <row r="29" spans="1:3" ht="28" customHeight="1">
      <c r="A29" s="24" t="s">
        <v>193</v>
      </c>
      <c r="B29" s="24"/>
      <c r="C29" s="24"/>
    </row>
    <row r="30" spans="1:3" ht="32" customHeight="1">
      <c r="A30" s="31"/>
      <c r="B30" s="32" t="s">
        <v>194</v>
      </c>
      <c r="C30" s="31" t="s">
        <v>195</v>
      </c>
    </row>
    <row r="31" spans="1:3" ht="32" customHeight="1">
      <c r="A31" s="29"/>
      <c r="B31" s="32" t="s">
        <v>196</v>
      </c>
      <c r="C31" s="29" t="s">
        <v>197</v>
      </c>
    </row>
    <row r="32" spans="1:3" ht="32" customHeight="1">
      <c r="A32" s="31"/>
      <c r="B32" s="32" t="s">
        <v>198</v>
      </c>
      <c r="C32" s="31" t="s">
        <v>199</v>
      </c>
    </row>
    <row r="35" spans="1:3">
      <c r="A35" s="23" t="s">
        <v>151</v>
      </c>
      <c r="B35" s="23"/>
      <c r="C35" s="23"/>
    </row>
  </sheetData>
  <sheetProtection sheet="1" objects="1" scenarios="1"/>
  <mergeCells count="7">
    <mergeCell ref="A1:C1"/>
    <mergeCell ref="A2:B2"/>
    <mergeCell ref="A5:C5"/>
    <mergeCell ref="A15:C15"/>
    <mergeCell ref="A22:C22"/>
    <mergeCell ref="A29:C29"/>
    <mergeCell ref="A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Gap-Analyse</vt:lpstr>
      <vt:lpstr>Dashboard</vt:lpstr>
      <vt:lpstr>Gebruikswijzer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2026-06-08T19:53:06Z</dcterms:created>
  <dcterms:modified xsi:type="dcterms:W3CDTF">2026-06-08T19:53:06Z</dcterms:modified>
</cp:coreProperties>
</file>