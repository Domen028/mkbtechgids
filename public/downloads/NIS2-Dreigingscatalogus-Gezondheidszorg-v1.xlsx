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bruikswijzer" sheetId="1" r:id="rId1"/>
    <sheet name="Gezondheidszorg" sheetId="2" r:id="rId2"/>
    <sheet name="Regulatoire_Context" sheetId="3" r:id="rId3"/>
    <sheet name="Controle_Mapping" sheetId="4" r:id="rId4"/>
    <sheet name="Scoringsgids" sheetId="5" r:id="rId5"/>
  </sheets>
  <calcPr calcId="124519" fullCalcOnLoad="1"/>
</workbook>
</file>

<file path=xl/sharedStrings.xml><?xml version="1.0" encoding="utf-8"?>
<sst xmlns="http://schemas.openxmlformats.org/spreadsheetml/2006/main" count="593" uniqueCount="438">
  <si>
    <t>NIS2 DREIGINGSCATALOGUS — GEZONDHEIDSZORG (SECTORSPECIFIEK)</t>
  </si>
  <si>
    <t>Versie 1.0  ·  Gezondheidszorg  ·  NIS2 Art. 21(2)  ·  MKBTechGids</t>
  </si>
  <si>
    <t>WAT IS DIT DOCUMENT?</t>
  </si>
  <si>
    <t>Inhoud</t>
  </si>
  <si>
    <t>Sectorspecifieke dreigingscatalogus voor de Gezondheidszorgsector. Bevat generiek gefilterde dreigingen én gezondheidszorg-exclusieve dreigingen die niet in de generieke catalogus staan.</t>
  </si>
  <si>
    <t>Gebruik</t>
  </si>
  <si>
    <t>Gebruik als input voor Module 2 Risicoanalyse. Pre-gescoorde dreigingen geven u een snelstart — pas de scores aan op basis van uw organisatiecontext.</t>
  </si>
  <si>
    <t>Toezichthouder</t>
  </si>
  <si>
    <t>IGJ (Inspectie Gezondheidszorg en Jeugd) — zie tabblad "Regulatoire_Context" voor inspectiecriteria.</t>
  </si>
  <si>
    <t>Sectorframework</t>
  </si>
  <si>
    <t>NEN 7510:2017 + NEN 7510-2 (Informatiebeveiliging in de zorg) — controle-mapping staat in tabblad "Controle_Mapping".</t>
  </si>
  <si>
    <t>STAPPENPLAN</t>
  </si>
  <si>
    <t>Stap 1</t>
  </si>
  <si>
    <t>Ga naar het tabblad "Gezondheidszorg" voor uw werkomgeving.</t>
  </si>
  <si>
    <t>Stap 2</t>
  </si>
  <si>
    <t>Vul uw organisatienaam en datum in de gele velden bovenaan het werkblad.</t>
  </si>
  <si>
    <t>Stap 3</t>
  </si>
  <si>
    <t>"Ref W/I" (grijs) = onze benchmark op basis van ENISA/NCSC. "Uw W/I" (blauw) = pas aan op uw situatie.</t>
  </si>
  <si>
    <t>Stap 4</t>
  </si>
  <si>
    <t>Markeer iedere dreiging als Relevant: Ja / Nee / Deels.</t>
  </si>
  <si>
    <t>Stap 5</t>
  </si>
  <si>
    <t>Dreigingen met "Voeg toe aan Risicoregister: Ja" → kopieer naar NIS2-Risicoregister.xlsx.</t>
  </si>
  <si>
    <t>Stap 6</t>
  </si>
  <si>
    <t>Bewaar dit ingevulde bestand als bewijsdocument voor toezichthouder.</t>
  </si>
  <si>
    <t>Stap 7</t>
  </si>
  <si>
    <t>Controleer tabblad "Regulatoire_Context" voor uw meldplichten bij IGJ.</t>
  </si>
  <si>
    <t>ORGANISATIEGEGEVENS (vul hier in)</t>
  </si>
  <si>
    <t>Organisatienaam</t>
  </si>
  <si>
    <t>{{BEDRIJFSNAAM}}</t>
  </si>
  <si>
    <t>Sector</t>
  </si>
  <si>
    <t>Gezondheidszorg</t>
  </si>
  <si>
    <t>Datum analyse</t>
  </si>
  <si>
    <t>{{DATUM}}</t>
  </si>
  <si>
    <t>Uitgevoerd door</t>
  </si>
  <si>
    <t>{{NAAM ANALIST}}</t>
  </si>
  <si>
    <t>Versie</t>
  </si>
  <si>
    <t>1.0</t>
  </si>
  <si>
    <t>MKBTechGids NIS2 Gezondheidszorg Sectorpakket v1  ·  KVK 27348456  ·  mkbtechgids.nl</t>
  </si>
  <si>
    <t>NIS2 DREIGINGSCATALOGUS — GEZONDHEIDSZORG SECTORPAKKET</t>
  </si>
  <si>
    <t>Sectorspecifiek Instrument · NIS2 Art. 21(2) · MKBTechGids</t>
  </si>
  <si>
    <t>Organisatie:</t>
  </si>
  <si>
    <t>Dreigingen:</t>
  </si>
  <si>
    <t>Kritiek:</t>
  </si>
  <si>
    <t>Hoog:</t>
  </si>
  <si>
    <t>Middel:</t>
  </si>
  <si>
    <t>Datum:</t>
  </si>
  <si>
    <t>⬤ Grijs "Ref" = benchmark (ENISA/NCSC/Z-CERT)  ·  ⬤ Blauw "Uw" = pas aan naar uw context  ·  ⬤ Geel "Relevant" = Ja/Nee/Deels  ·  Groene kolom = toevoegen aan Risicoregister?</t>
  </si>
  <si>
    <t>Nr</t>
  </si>
  <si>
    <t>Categorie</t>
  </si>
  <si>
    <t>Dreigingsscenario</t>
  </si>
  <si>
    <t>Beschrijving</t>
  </si>
  <si>
    <t>Ref
W</t>
  </si>
  <si>
    <t>Ref
I</t>
  </si>
  <si>
    <t>Uw
W</t>
  </si>
  <si>
    <t>Uw
I</t>
  </si>
  <si>
    <t>Score</t>
  </si>
  <si>
    <t>Prioriteit</t>
  </si>
  <si>
    <t>Typische oorzaken</t>
  </si>
  <si>
    <t>Mogelijke gevolgen</t>
  </si>
  <si>
    <t>Relevant?</t>
  </si>
  <si>
    <t>Toelichting</t>
  </si>
  <si>
    <t>NIS2 Artikel</t>
  </si>
  <si>
    <t>ISO 27001</t>
  </si>
  <si>
    <t>Voeg toe
Risicoregister?</t>
  </si>
  <si>
    <t>G01</t>
  </si>
  <si>
    <t>Malware &amp; Ransomware</t>
  </si>
  <si>
    <t>Ransomware op bedrijfs-IT</t>
  </si>
  <si>
    <t>Versleuteling van servers en data door ransomware-groepen; losgeld geëist voor herstel.</t>
  </si>
  <si>
    <t>Phishing, RDP-blootstelling, onvoldoende patch management, geen MFA</t>
  </si>
  <si>
    <t>Uitval primaire systemen (dagen–weken), dataverlies, reputatieschade, NIS2-meldplicht Art. 23</t>
  </si>
  <si>
    <t>Ja</t>
  </si>
  <si>
    <t>Art. 21(2)(b)(e)</t>
  </si>
  <si>
    <t>A.8.7, A.8.13, A.8.14, A.5.26</t>
  </si>
  <si>
    <t>Nee</t>
  </si>
  <si>
    <t>G02</t>
  </si>
  <si>
    <t>Ransomware op OT/SCADA/ICS</t>
  </si>
  <si>
    <t>Versleuteling van industriële besturingssystemen; directe impact op operationele continuïteit.</t>
  </si>
  <si>
    <t>IT-OT convergentie zonder segmentatie, verouderde OT-firmware, onbeveiligde remote access</t>
  </si>
  <si>
    <t>Uitval productie/levering, veiligheidsincidenten, NIS2-meldplicht</t>
  </si>
  <si>
    <t>A.8.7, A.8.14, A.8.19</t>
  </si>
  <si>
    <t>G03</t>
  </si>
  <si>
    <t>Destructive malware (wiper)</t>
  </si>
  <si>
    <t>Software die gegevens en systemen permanent vernietigt zonder hersteloptie.</t>
  </si>
  <si>
    <t>Geopolitieke APT-groepen, supply chain-aanval, spear-phishing via partner</t>
  </si>
  <si>
    <t>Permanent gegevensverlies, herstel duurt weken–maanden</t>
  </si>
  <si>
    <t>Art. 21(2)(b)(c)(e)</t>
  </si>
  <si>
    <t>A.8.7, A.8.13, A.5.26</t>
  </si>
  <si>
    <t>G04</t>
  </si>
  <si>
    <t>Trojan / backdoor installatie</t>
  </si>
  <si>
    <t>Onopgemerkte installatie van malware voor langdurige spionage of voorbereiding aanval.</t>
  </si>
  <si>
    <t>Phishing, besmette software-update, gecompromitteerde leverancier</t>
  </si>
  <si>
    <t>Datadiefstal gedurende maanden, verlies intellectueel eigendom</t>
  </si>
  <si>
    <t>Art. 21(2)(e)(b)</t>
  </si>
  <si>
    <t>A.8.7, A.8.16, A.8.23</t>
  </si>
  <si>
    <t>G05</t>
  </si>
  <si>
    <t>Social Engineering</t>
  </si>
  <si>
    <t>Spear-phishing topmanagement / BEC</t>
  </si>
  <si>
    <t>Gerichte aanvallen op directeuren voor fraude of toegang tot systemen.</t>
  </si>
  <si>
    <t>LinkedIn-informatie, impersonatie CFO/CEO, dringende betalingsverzoeken</t>
  </si>
  <si>
    <t>Financiële fraude (gem. €150K), toegang kritieke systemen</t>
  </si>
  <si>
    <t>Art. 21(2)(g)(i)</t>
  </si>
  <si>
    <t>A.6.3, A.8.23, A.5.15</t>
  </si>
  <si>
    <t>G06</t>
  </si>
  <si>
    <t>Massale phishing medewerkers</t>
  </si>
  <si>
    <t>Grootschalige phishing-campagnes voor credential-diefstal of malware.</t>
  </si>
  <si>
    <t>Onvoldoende bewustzijn, geen MFA, geen DMARC</t>
  </si>
  <si>
    <t>Credential-compromittering, initiële toegang ransomware</t>
  </si>
  <si>
    <t>Art. 21(2)(g)(j)</t>
  </si>
  <si>
    <t>A.6.3, A.8.5</t>
  </si>
  <si>
    <t>G07</t>
  </si>
  <si>
    <t>Supply Chain</t>
  </si>
  <si>
    <t>Supply chain software-aanval</t>
  </si>
  <si>
    <t>Compromittering van software-updates via vertrouwde kanalen (SolarWinds-type).</t>
  </si>
  <si>
    <t>Gecompromitteerde build-pipeline leverancier, zwak code-signaturebeheer</t>
  </si>
  <si>
    <t>Grootschalige compromittering, langdurige onopgemerkte toegang</t>
  </si>
  <si>
    <t>Art. 21(2)(d)(e)</t>
  </si>
  <si>
    <t>A.5.19, A.5.20, A.5.21, A.8.30</t>
  </si>
  <si>
    <t>G08</t>
  </si>
  <si>
    <t>Compromittering managed service provider</t>
  </si>
  <si>
    <t>Aanvaller via MSP om toegang te verkrijgen tot alle klanten.</t>
  </si>
  <si>
    <t>Gedeeld beheer zonder segmentatie, zwakke authenticatie bij MSP</t>
  </si>
  <si>
    <t>Massale compromittering, ransomware bij alle klanten</t>
  </si>
  <si>
    <t>Art. 21(2)(d)</t>
  </si>
  <si>
    <t>A.5.19, A.5.23</t>
  </si>
  <si>
    <t>G09</t>
  </si>
  <si>
    <t>Ketenrisico via kritieke leverancier</t>
  </si>
  <si>
    <t>Operationele afhankelijkheid van leverancier zonder adequate cyberbeveiliging.</t>
  </si>
  <si>
    <t>Onvoldoende leveranciersscreening, geen contractuele beveiligingseisen</t>
  </si>
  <si>
    <t>Verspreiding incident, uitval kritieke diensten, boetes ketenzorgplicht</t>
  </si>
  <si>
    <t>A.5.19, A.5.20</t>
  </si>
  <si>
    <t>G10</t>
  </si>
  <si>
    <t>Ongeautoriseerde Toegang</t>
  </si>
  <si>
    <t>Brute force / credential stuffing</t>
  </si>
  <si>
    <t>Geautomatiseerde aanvallen om wachtwoorden te raden via gelekte databases.</t>
  </si>
  <si>
    <t>Ontbreken MFA, geen lockout, hergebruik wachtwoorden</t>
  </si>
  <si>
    <t>Initiële toegang, account-overname, lateral movement</t>
  </si>
  <si>
    <t>Art. 21(2)(j)</t>
  </si>
  <si>
    <t>A.8.5, A.8.23</t>
  </si>
  <si>
    <t>G11</t>
  </si>
  <si>
    <t>Misbruik geprivilegieerde accounts</t>
  </si>
  <si>
    <t>Aanvaller verkrijgt admin-rechten voor maximale schade of spionage.</t>
  </si>
  <si>
    <t>Zwak PAM-beleid, shared admin accounts, geen just-in-time toegang</t>
  </si>
  <si>
    <t>Volledige systeemovername, ransomware-uitrol</t>
  </si>
  <si>
    <t>Art. 21(2)(i)(j)</t>
  </si>
  <si>
    <t>A.8.2, A.8.18, A.8.5</t>
  </si>
  <si>
    <t>G12</t>
  </si>
  <si>
    <t>Onbeveiligde remote access (RDP/VPN)</t>
  </si>
  <si>
    <t>Blootgestelde remote desktop of VPN als primaire inbraakpoort.</t>
  </si>
  <si>
    <t>RDP direct op internet, verouderde VPN, geen MFA op remote access</t>
  </si>
  <si>
    <t>Initieel kanaal voor 60%+ ransomware-aanvallen</t>
  </si>
  <si>
    <t>Art. 21(2)(e)(j)</t>
  </si>
  <si>
    <t>A.8.20, A.8.5, A.8.22</t>
  </si>
  <si>
    <t>G13</t>
  </si>
  <si>
    <t>Datalekken</t>
  </si>
  <si>
    <t>Datalek via webapplicatie (SQLi/XSS)</t>
  </si>
  <si>
    <t>Exploitatie kwetsbare webapplicatie voor ongeautoriseerde toegang tot databases.</t>
  </si>
  <si>
    <t>Onvoldoende input-validatie, verouderde frameworks, geen WAF</t>
  </si>
  <si>
    <t>Diefstal data, AVG-boetes tot 4% omzet, reputatieschade</t>
  </si>
  <si>
    <t>Art. 21(2)(e)</t>
  </si>
  <si>
    <t>A.8.25, A.8.26, A.8.28</t>
  </si>
  <si>
    <t>G14</t>
  </si>
  <si>
    <t>Cloud misconfiguratie / datablootstelling</t>
  </si>
  <si>
    <t>Publiek toegankelijke cloud-opslag door foutieve configuratie.</t>
  </si>
  <si>
    <t>Onjuiste S3/Azure Blob permissies, standaardwachtwoorden</t>
  </si>
  <si>
    <t>Massale datablootstelling, AVG-melding verplicht</t>
  </si>
  <si>
    <t>A.8.7, A.8.23, A.5.23</t>
  </si>
  <si>
    <t>G15</t>
  </si>
  <si>
    <t>Beschikbaarheid / DDoS</t>
  </si>
  <si>
    <t>Volumetrische DDoS op primaire dienstverlening</t>
  </si>
  <si>
    <t>Massale aanval om beschikbaarheid te verstoren.</t>
  </si>
  <si>
    <t>Botnets, geopolitieke motivatie, hacktivist-groepen</t>
  </si>
  <si>
    <t>Uitval klantportalen, onbereikbaarheid kritieke diensten</t>
  </si>
  <si>
    <t>A.8.6, A.8.20</t>
  </si>
  <si>
    <t>G16</t>
  </si>
  <si>
    <t>Insider Dreigingen</t>
  </si>
  <si>
    <t>Kwaadwillende insider (sabotage/spionage)</t>
  </si>
  <si>
    <t>Medewerker met boos opzet misbruikt toegang voor sabotage of spionage.</t>
  </si>
  <si>
    <t>Onvoldoende screening, gebrek least-privilege, geen UBA</t>
  </si>
  <si>
    <t>Verstoring kritieke operaties, diefstal data, langdurige schade</t>
  </si>
  <si>
    <t>Art. 21(2)(i)</t>
  </si>
  <si>
    <t>A.6.1, A.6.5, A.7.4, A.8.2</t>
  </si>
  <si>
    <t>G17</t>
  </si>
  <si>
    <t>Onbedoelde menselijke fout</t>
  </si>
  <si>
    <t>Configuratiefouten of phishing door medewerkers zonder boos opzet.</t>
  </si>
  <si>
    <t>Onvoldoende training, tijdsdruk, geen four-eyes bij kritieke handelingen</t>
  </si>
  <si>
    <t>Datalekken, systeemuitval, per ongeluk dataverlies</t>
  </si>
  <si>
    <t>A.6.3, A.8.1</t>
  </si>
  <si>
    <t>G18</t>
  </si>
  <si>
    <t>OT / ICS / SCADA</t>
  </si>
  <si>
    <t>Aanval op SCADA/ICS-besturingssystemen</t>
  </si>
  <si>
    <t>Gerichte aanval op industriële besturings- en procesautomatiseringssystemen.</t>
  </si>
  <si>
    <t>MITRE ATT&amp;CK for ICS, geopolitieke APT, niet-gepatchte PLC/HMI</t>
  </si>
  <si>
    <t>Uitval productie/levering, veiligheidsincidenten, NIS2 kritieke infrastructuur</t>
  </si>
  <si>
    <t>G19</t>
  </si>
  <si>
    <t>Onbeveiligde OT-IT-netwerkverbinding</t>
  </si>
  <si>
    <t>Directe of onvoldoende gesegmenteerde verbinding IT en operationele omgeving.</t>
  </si>
  <si>
    <t>IT-OT convergentie zonder firewalls, remote access op OT</t>
  </si>
  <si>
    <t>Lateral movement van IT naar OT, aanvaller bereikt procesbesturing</t>
  </si>
  <si>
    <t>A.8.20, A.8.22</t>
  </si>
  <si>
    <t>G20</t>
  </si>
  <si>
    <t>Verouderde OT-firmware zonder patchmogelijkheid</t>
  </si>
  <si>
    <t>ICS/SCADA met bekende kwetsbaarheden die niet gepatcht kunnen worden.</t>
  </si>
  <si>
    <t>Lange levenscyclus OT (15-30 jaar), afhankelijkheid leverancier</t>
  </si>
  <si>
    <t>Bekende kwetsbaarheden permanent aanwezig, doelwit gespecialiseerde aanvallers</t>
  </si>
  <si>
    <t>A.8.8, A.8.19</t>
  </si>
  <si>
    <t>G21</t>
  </si>
  <si>
    <t>Bedrijfscontinuïteit</t>
  </si>
  <si>
    <t>Uitval primaire datacenter of serverruimte</t>
  </si>
  <si>
    <t>Volledige uitval IT-infrastructuur door brand, stroomstoring of technisch falen.</t>
  </si>
  <si>
    <t>Ontbreken redundantie, geen uitwijklocatie, fysieke calamiteit</t>
  </si>
  <si>
    <t>Uitval alle systemen, operationele stilstand</t>
  </si>
  <si>
    <t>Art. 21(2)(c)</t>
  </si>
  <si>
    <t>A.7.5, A.8.14, A.7.11</t>
  </si>
  <si>
    <t>G22</t>
  </si>
  <si>
    <t>Falen backup-systemen en herstelproces</t>
  </si>
  <si>
    <t>Ontdekking dat back-ups corrupt of onherstelbaar zijn bij nood.</t>
  </si>
  <si>
    <t>Ongeteste back-ups, back-ups in zelfde segment, geen 3-2-1 strategie</t>
  </si>
  <si>
    <t>Ransomware + gefaalde herstel = existentieel risico</t>
  </si>
  <si>
    <t>A.8.13</t>
  </si>
  <si>
    <t>G23</t>
  </si>
  <si>
    <t>Governance &amp; Compliance</t>
  </si>
  <si>
    <t>Ongepatchte systemen en bekende kwetsbaarheden</t>
  </si>
  <si>
    <t>Systemen met bekende, exploiteerbare kwetsbaarheden door uitgesteld patchbeheer.</t>
  </si>
  <si>
    <t>Geen gestructureerd patch management, angst voor verstoring</t>
  </si>
  <si>
    <t>Bekende kwetsbaarheden actief uitgebuit door geautomatiseerde scanners</t>
  </si>
  <si>
    <t>A.8.8</t>
  </si>
  <si>
    <t>G24</t>
  </si>
  <si>
    <t>Onvoldoende netwerksegmentatie</t>
  </si>
  <si>
    <t>Flat netwerk zonder zones maakt lateral movement mogelijk.</t>
  </si>
  <si>
    <t>Historisch gegroeide topologie, kostenoverweging</t>
  </si>
  <si>
    <t>Aanvaller bereikt alle systemen na één gecompromitteerd apparaat</t>
  </si>
  <si>
    <t>A.8.22</t>
  </si>
  <si>
    <t>G25</t>
  </si>
  <si>
    <t>Onvoldoende logging en security monitoring</t>
  </si>
  <si>
    <t>Ontbreken logs en real-time monitoring voor tijdige aanvalsdetectie.</t>
  </si>
  <si>
    <t>Geen SIEM, beperkt budget, geen alert-procedures</t>
  </si>
  <si>
    <t>Aanvallen blijven gemiddeld 200+ dagen onopgemerkt</t>
  </si>
  <si>
    <t>Art. 21(2)(f)</t>
  </si>
  <si>
    <t>A.8.15, A.8.16</t>
  </si>
  <si>
    <t>G26</t>
  </si>
  <si>
    <t>Geen MFA op kritieke systemen en accounts</t>
  </si>
  <si>
    <t>Enkelvoudige wachtwoordauthenticatie op NIS2-kritieke systemen.</t>
  </si>
  <si>
    <t>Legacy-systemen zonder MFA-ondersteuning, gebruikersweerstand</t>
  </si>
  <si>
    <t>Credential-diefstal leidt direct tot systeemtoegang</t>
  </si>
  <si>
    <t>A.8.5</t>
  </si>
  <si>
    <t>G27</t>
  </si>
  <si>
    <t>Ontbreken incidentrespons procedure</t>
  </si>
  <si>
    <t>Geen gedocumenteerde en geoefende procedures voor beveiligingsincidenten.</t>
  </si>
  <si>
    <t>Geen IR-plan, geen trained team, geen externe retainer</t>
  </si>
  <si>
    <t>Paniek bij incident, cruciale uren verloren, NIS2-meldplicht gemist</t>
  </si>
  <si>
    <t>Art. 21(2)(b)</t>
  </si>
  <si>
    <t>A.5.24, A.5.25, A.5.26</t>
  </si>
  <si>
    <t>G28</t>
  </si>
  <si>
    <t>Niet-naleving NIS2 meldplicht (24u/72u/30d)</t>
  </si>
  <si>
    <t>Niet tijdig voldoen aan verplichte incidentmelding bij toezichthouder.</t>
  </si>
  <si>
    <t>Geen escalatieproces, onduidelijkheid over drempel, geen NCSC-contacten</t>
  </si>
  <si>
    <t>Boete tot €10M of 2% omzet, verscherpt toezicht</t>
  </si>
  <si>
    <t>Art. 23</t>
  </si>
  <si>
    <t>A.5.24, A.5.25</t>
  </si>
  <si>
    <t>▼  GEZONDHEIDSZORG-SPECIFIEKE DREIGINGEN  — niet in generieke catalogus  ▼</t>
  </si>
  <si>
    <t>Medisch apparaat compromittering (IoMT)</t>
  </si>
  <si>
    <t>Aanval op Internet of Medical Things apparaten: infusie-pompen, hartmonitoren, MRI-scanners via netwerk.</t>
  </si>
  <si>
    <t>Legacy-firmware medische apparaten, geen patch-mogelijkheid, directe netwerkkoppeling zonder segmentatie</t>
  </si>
  <si>
    <t>Patiëntveiligheid in gevaar, apparaat-uitval tijdens behandeling, IGJ-melding verplicht</t>
  </si>
  <si>
    <t>EPD/EHR-systeem gerichte ransomware</t>
  </si>
  <si>
    <t>Specifiek gerichte ransomware op elektronische patiëntdossier-systemen van ziekenhuizen of klinieken.</t>
  </si>
  <si>
    <t>EPD's rechtstreeks op internet bereikbaar, verouderde OS onder EPD-omgeving, geen adequate backup-isolatie</t>
  </si>
  <si>
    <t>Uitval patiëntenzorg (operaties afgelast, patiënten omgeleid), patiëntdataverlies, IGJ-melding, schade €500K–€5M</t>
  </si>
  <si>
    <t>A.8.7, A.8.13, A.8.14</t>
  </si>
  <si>
    <t>PACS/DICOM beeldvormingssysteem aanval</t>
  </si>
  <si>
    <t>Aanval op Picture Archiving and Communication Systems of beeldvormingssystemen (MRI, CT, röntgen).</t>
  </si>
  <si>
    <t>DICOM-protocol zonder encryptie of authenticatie, PACS slecht gesegmenteerd, verouderde Windows-versies</t>
  </si>
  <si>
    <t>Verlies diagnostische beelden, uitval beeldvorming, herstelkosten €200K–€1M, patiënt-delay</t>
  </si>
  <si>
    <t>A.8.19, A.8.20</t>
  </si>
  <si>
    <t>Medicatiemanagementsysteem compromittering</t>
  </si>
  <si>
    <t>Aanval op geautomatiseerde medicatiedoseringssystemen of apotheeksoftware met patiëntveiligheidsrisico.</t>
  </si>
  <si>
    <t>Zwakke authenticatie op medicatiesystemen, integratie met EPD zonder adequate controles</t>
  </si>
  <si>
    <t>Medicatiefouten (potentieel letaal), aansprakelijkheid zorginstelling, IGJ-onderzoek</t>
  </si>
  <si>
    <t>A.8.19, A.8.5</t>
  </si>
  <si>
    <t>Klinisch beslissingsondersteunend systeem manipulatie</t>
  </si>
  <si>
    <t>Aanpassing van algoritmen of data in klinische beslissingsondersteunende systemen (CDSS) met onjuiste adviezen.</t>
  </si>
  <si>
    <t>Onvoldoende integriteitscontroles op CDSS-modellen, te brede schrijfrechten op CDSS-database</t>
  </si>
  <si>
    <t>Onjuiste medische beslissingen, patiëntschade, aansprakelijkheid, verlies vertrouwen in AI-systemen</t>
  </si>
  <si>
    <t>A.8.25, A.8.16</t>
  </si>
  <si>
    <t>Patiënt monitoring systeem interferentie</t>
  </si>
  <si>
    <t>Verstoring van bedside monitoring, telemetrie of alarmsystemen op intensive care of spoedeisende hulp.</t>
  </si>
  <si>
    <t>Medische monitoren op zorgnetwerk zonder segmentatie, draadloze telemetrie zonder encryptie</t>
  </si>
  <si>
    <t>Gemiste alarmering kritieke patiënten, falende monitors, patiëntschade, strafrechtelijke aansprakelijkheid</t>
  </si>
  <si>
    <t>Patiëntdata exfiltratie (BIG-register/EPD)</t>
  </si>
  <si>
    <t>Gerichte exfiltratie van patiëntdossiers, diagnosen of BIG-register gegevens voor verkoop of afpersing.</t>
  </si>
  <si>
    <t>Onvoldoende dataminimalisatie, te brede leesrechten EPD, geen DLP, geen versleuteling in rust</t>
  </si>
  <si>
    <t>AVG-boetes (4% omzet), AP-melding, patiëntclaims, reputatieschade, IGJ-onderzoek</t>
  </si>
  <si>
    <t>Art. 21(2)(e)(h)</t>
  </si>
  <si>
    <t>A.5.33, A.8.10, A.8.24</t>
  </si>
  <si>
    <t>IGJ-inspectie non-compliance NEN 7510</t>
  </si>
  <si>
    <t>IGJ-inspectie constateert dat zorginstelling niet voldoet aan NEN 7510 (informatiebeveiliging in de zorg).</t>
  </si>
  <si>
    <t>Geen actueel risicoregister, ontbreken informatiebeveiligingsbeleid, geen aangewezen CISO/FG</t>
  </si>
  <si>
    <t>IGJ-aanwijzing, verscherpt toezicht, openbare openbaarmaking bevindingen, reputatieschade</t>
  </si>
  <si>
    <t>Art. 21, Art. 32</t>
  </si>
  <si>
    <t>A.5.1, A.5.2</t>
  </si>
  <si>
    <t>Laboratorium informatiesysteem aanval</t>
  </si>
  <si>
    <t>Aanval op LIS verstoort labresultaten, diagnostiek en bloedtransfusies.</t>
  </si>
  <si>
    <t>LIS slecht gesegmenteerd van algemeen zorgnetwerk, legacy-software zonder ondersteuning</t>
  </si>
  <si>
    <t>Uitval diagnostiek, vertraagde behandeling, potentieel verkeerde diagnose, patiëntschade</t>
  </si>
  <si>
    <t>Compromittering zorgverzekeraarsportaal</t>
  </si>
  <si>
    <t>Aanval op declaratieportalen of koppelvlakken met zorgverzekeraars veroorzaakt financiële en operationele schade.</t>
  </si>
  <si>
    <t>Onvoldoende beveiliging VECOZO-koppeling, zwakke authenticatie declaratieplatforms</t>
  </si>
  <si>
    <t>Declaratiefraude, financieel verlies, verstoring kasstromen, reputatieschade bij verzekeraar</t>
  </si>
  <si>
    <t>Art. 21(2)(e)(d)</t>
  </si>
  <si>
    <t>A.5.19, A.8.25</t>
  </si>
  <si>
    <t>NIS2 Gezondheidszorg Sectorpakket v1  ·  MKBTechGids  ·  KVK 27348456  ·  mkbtechgids.nl  ·  Bronnen: ENISA 2024, NCSC NL CSBN 2024, MITRE ATT&amp;CK v14, NIS2 Art. 21</t>
  </si>
  <si>
    <t>REGULATOIRE CONTEXT — GEZONDHEIDSZORG · NIS2 Compliance</t>
  </si>
  <si>
    <t>Toezichthouder: IGJ (Inspectie Gezondheidszorg en Jeugd)  ·  Framework: NEN 7510:2017 + NEN 7510-2 (Informatiebeveiliging in de zorg)</t>
  </si>
  <si>
    <t>TOEZICHT &amp; WETGEVING</t>
  </si>
  <si>
    <t>IGJ (Inspectie Gezondheidszorg en Jeugd)</t>
  </si>
  <si>
    <t>Sectorwetgeving</t>
  </si>
  <si>
    <t>Cyberbeveiligingswet (NIS2) + Wet kwaliteit, klachten en geschillen zorg (Wkkgz) + Wgbo</t>
  </si>
  <si>
    <t>NEN 7510:2017 + NEN 7510-2 (Informatiebeveiliging in de zorg)</t>
  </si>
  <si>
    <t>Bronnen dreigingsdata</t>
  </si>
  <si>
    <t>Z-CERT Dreigingslandschap Zorg 2024, NCSC CSBN 2024</t>
  </si>
  <si>
    <t>Sectorverenigingen</t>
  </si>
  <si>
    <t>NVZ (Nederlandse Vereniging van Ziekenhuizen), GGZ Nederland, ActiZ</t>
  </si>
  <si>
    <t>MELDPLICHT NIS2 ART. 23 — TERMIJNEN</t>
  </si>
  <si>
    <t>24 uur</t>
  </si>
  <si>
    <t>Eerste melding bij NCSC/Z-CERT na significant incident (Art. 23 NIS2)</t>
  </si>
  <si>
    <t>72 uur</t>
  </si>
  <si>
    <t>Gedetailleerde melding bij IGJ + NCSC</t>
  </si>
  <si>
    <t>30 dagen</t>
  </si>
  <si>
    <t>Eindrapport incident</t>
  </si>
  <si>
    <t>Direct</t>
  </si>
  <si>
    <t>IGJ informeren bij impact op patiëntveiligheid (calamiteitenmelding Wkkgz)</t>
  </si>
  <si>
    <t>72 uur AVG</t>
  </si>
  <si>
    <t>AP-melding bij datalek met patiëntgegevens</t>
  </si>
  <si>
    <t>INSPECTIECRITERIA TOEZICHTHOUDER</t>
  </si>
  <si>
    <t>Criterium 1</t>
  </si>
  <si>
    <t>NEN 7510 gecertificeerd of aantoonbaar in lijn (NEN 7510-1 + 7510-2)</t>
  </si>
  <si>
    <t>Criterium 2</t>
  </si>
  <si>
    <t>Risicobeheersysteem afgestemd op patiëntveiligheid</t>
  </si>
  <si>
    <t>Criterium 3</t>
  </si>
  <si>
    <t>Medische apparatuur-netwerk gesegmenteerd (IoMT)</t>
  </si>
  <si>
    <t>Criterium 4</t>
  </si>
  <si>
    <t>Functionaris voor Gegevensbescherming (FG) aangesteld</t>
  </si>
  <si>
    <t>Criterium 5</t>
  </si>
  <si>
    <t>Datalekprocedure en AVG-register actueel</t>
  </si>
  <si>
    <t>Criterium 6</t>
  </si>
  <si>
    <t>Incidentrespons inclusief patiënten-notificatie procedure</t>
  </si>
  <si>
    <t>Criterium 7</t>
  </si>
  <si>
    <t>Z-CERT lidmaatschap (aanbevolen voor ziekenhuizen)</t>
  </si>
  <si>
    <t>CONTROLE MAPPING — GEZONDHEIDSZORG · NIS2 ↔ NEN 7510 ↔ ISO 27001</t>
  </si>
  <si>
    <t>Gebruik: identificeer welke sectorframework-controles uw dreigingen afdekken</t>
  </si>
  <si>
    <t>Controle ID</t>
  </si>
  <si>
    <t>Maatregel</t>
  </si>
  <si>
    <t>NEN 7510</t>
  </si>
  <si>
    <t>Implementatiegids</t>
  </si>
  <si>
    <t>MAL-001</t>
  </si>
  <si>
    <t>EPD/EHR ransomware bescherming</t>
  </si>
  <si>
    <t>NEN 7510-2 Cl. 12.2</t>
  </si>
  <si>
    <t>A.8.7, A.8.14</t>
  </si>
  <si>
    <t>EDR + netwerksegmentatie EPD, geïsoleerde backups, hersteltest 6-maandelijks</t>
  </si>
  <si>
    <t>IOT-001</t>
  </si>
  <si>
    <t>Medisch apparaat netwerksegmentatie</t>
  </si>
  <si>
    <t>NEN 7510-2 Cl. 13.1</t>
  </si>
  <si>
    <t>A.8.19, A.8.22</t>
  </si>
  <si>
    <t>Dedicated medisch VLAN, geen IoMT op bedrijfsnetwerk, asset-inventaris</t>
  </si>
  <si>
    <t>DAT-001</t>
  </si>
  <si>
    <t>Patiëntdata bescherming (NEN 7510 + AVG)</t>
  </si>
  <si>
    <t>NEN 7510-2 Cl. 9.4</t>
  </si>
  <si>
    <t>Versleuteling in rust + transit, toegang op basis van rol, dataminimalisatie</t>
  </si>
  <si>
    <t>ACC-001</t>
  </si>
  <si>
    <t>Toegangsbeheer EPD en medische systemen</t>
  </si>
  <si>
    <t>NEN 7510-2 Cl. 9.1</t>
  </si>
  <si>
    <t>A.8.2, A.8.5</t>
  </si>
  <si>
    <t>MFA, least privilege per afdeling, automatisch offboarding bij vertrek</t>
  </si>
  <si>
    <t>MON-001</t>
  </si>
  <si>
    <t>Security monitoring zorginformatiesystemen</t>
  </si>
  <si>
    <t>NEN 7510-2 Cl. 12.4</t>
  </si>
  <si>
    <t>SIEM met EPD-logs, Z-CERT threat intelligence feed, 24/7 alerting</t>
  </si>
  <si>
    <t>BCM-001</t>
  </si>
  <si>
    <t>Zorgcontinuïteit bij cyberincident</t>
  </si>
  <si>
    <t>NEN 7510-2 Cl. 17.1</t>
  </si>
  <si>
    <t>A.8.13, A.8.14</t>
  </si>
  <si>
    <t>Papieren fallback-procedures voor kritieke zorgprocessen, patiënt-omleidingsplan</t>
  </si>
  <si>
    <t>GOV-001</t>
  </si>
  <si>
    <t>NIS2 / IGJ / AVG meldproces</t>
  </si>
  <si>
    <t>NEN 7510-2 Cl. 16.1</t>
  </si>
  <si>
    <t>Gecombineerd protocol: NIS2 (24u) + Wkkgz-calamiteit + AVG (72u); IGJ contactpersoon</t>
  </si>
  <si>
    <t>SUP-001</t>
  </si>
  <si>
    <t>Leveranciersbeveiliging EPD/zorgIT</t>
  </si>
  <si>
    <t>NEN 7510-2 Cl. 15.2</t>
  </si>
  <si>
    <t>NEN 7510-verplichting in EPD-leverancierscontracten, jaarlijkse audit recht</t>
  </si>
  <si>
    <t>SCORINGSGIDS — Waarschijnlijkheid, Impact &amp; Prioritering</t>
  </si>
  <si>
    <t>NIS2 Art. 21(2)(a) · ISO/IEC 27005:2022 Cl. 6.1.2</t>
  </si>
  <si>
    <t>WAARSCHIJNLIJKHEID (W)</t>
  </si>
  <si>
    <t>W=1</t>
  </si>
  <si>
    <t>Zelden</t>
  </si>
  <si>
    <t>&lt;1× per 10 jaar — theoretisch aanwezig, niet of nauwelijks gerapporteerd in sector</t>
  </si>
  <si>
    <t>W=2</t>
  </si>
  <si>
    <t>Onwaarschijnlijk</t>
  </si>
  <si>
    <t>1× per 5–10 jaar — incidenteel gerapporteerd in vergelijkbare organisaties</t>
  </si>
  <si>
    <t>W=3</t>
  </si>
  <si>
    <t>Mogelijk</t>
  </si>
  <si>
    <t>1× per 1–5 jaar — regelmatig gerapporteerd; relevant in huidig dreigingslandschap</t>
  </si>
  <si>
    <t>W=4</t>
  </si>
  <si>
    <t>Waarschijnlijk</t>
  </si>
  <si>
    <t>Meerdere keren per jaar — actief uitgebuit in sector; concrete dreigingsgroepen actief</t>
  </si>
  <si>
    <t>W=5</t>
  </si>
  <si>
    <t>Bijna zeker</t>
  </si>
  <si>
    <t>Meerdere keren per maand — doorlopende dreiging; actuele NCSC-waarschuwingen</t>
  </si>
  <si>
    <t>IMPACT (I)</t>
  </si>
  <si>
    <t>I=1</t>
  </si>
  <si>
    <t>Verwaarloosbaar</t>
  </si>
  <si>
    <t>&lt;€5.000 directe schade — snel herstelbaar, geen externe melding</t>
  </si>
  <si>
    <t>I=2</t>
  </si>
  <si>
    <t>Klein</t>
  </si>
  <si>
    <t>€5.000–€50.000 — tijdelijke verstoring, intern oplosbaar</t>
  </si>
  <si>
    <t>I=3</t>
  </si>
  <si>
    <t>Matig</t>
  </si>
  <si>
    <t>€50.000–€250.000 — significante verstoring, reputatieschade mogelijk</t>
  </si>
  <si>
    <t>I=4</t>
  </si>
  <si>
    <t>Ernstig</t>
  </si>
  <si>
    <t>€250.000–€1.000.000 — langdurige uitval, juridische gevolgen, NIS2-melding</t>
  </si>
  <si>
    <t>I=5</t>
  </si>
  <si>
    <t>Catastrofaal</t>
  </si>
  <si>
    <t>&gt;€1.000.000 of organisatie-existentieel — directe NIS2-melding verplicht</t>
  </si>
  <si>
    <t>PRIORITERINGSMATRIX (W × I)</t>
  </si>
  <si>
    <t>15–25</t>
  </si>
  <si>
    <t>Kritiek</t>
  </si>
  <si>
    <t>Directe actie. Rapporteer aan directie &lt;5 werkdagen. Behandelplan &lt;30 dagen.</t>
  </si>
  <si>
    <t>8–14</t>
  </si>
  <si>
    <t>Hoog</t>
  </si>
  <si>
    <t>Behandelplan &lt;30 dagen. Eigenaar aanwijzen. Monitoren per kwartaal.</t>
  </si>
  <si>
    <t>4–7</t>
  </si>
  <si>
    <t>Middel</t>
  </si>
  <si>
    <t>Actie plannen &lt;90 dagen of formeel accepteren met motivatie.</t>
  </si>
  <si>
    <t>1–3</t>
  </si>
  <si>
    <t>Laag</t>
  </si>
  <si>
    <t>Accepteren met directiebesluit. Jaarlijks herbeoordelen.</t>
  </si>
  <si>
    <t>MKBTechGids  ·  NIS2 Compliance Toolkit  ·  KVK 27348456  ·  mkbtechgids.nl</t>
  </si>
</sst>
</file>

<file path=xl/styles.xml><?xml version="1.0" encoding="utf-8"?>
<styleSheet xmlns="http://schemas.openxmlformats.org/spreadsheetml/2006/main">
  <fonts count="30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713F12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11"/>
      <color rgb="FF374151"/>
      <name val="Calibri"/>
      <family val="2"/>
      <scheme val="minor"/>
    </font>
    <font>
      <b/>
      <sz val="11"/>
      <color rgb="FFDC2626"/>
      <name val="Calibri"/>
      <family val="2"/>
      <scheme val="minor"/>
    </font>
    <font>
      <b/>
      <sz val="11"/>
      <color rgb="FFD97706"/>
      <name val="Calibri"/>
      <family val="2"/>
      <scheme val="minor"/>
    </font>
    <font>
      <b/>
      <sz val="11"/>
      <color rgb="FF15803D"/>
      <name val="Calibri"/>
      <family val="2"/>
      <scheme val="minor"/>
    </font>
    <font>
      <i/>
      <sz val="9"/>
      <color rgb="FF1D4ED8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6B7280"/>
      <name val="Calibri"/>
      <family val="2"/>
      <scheme val="minor"/>
    </font>
    <font>
      <b/>
      <sz val="8"/>
      <color rgb="FF1D4ED8"/>
      <name val="Calibri"/>
      <family val="2"/>
      <scheme val="minor"/>
    </font>
    <font>
      <b/>
      <sz val="8"/>
      <color rgb="FF14532D"/>
      <name val="Calibri"/>
      <family val="2"/>
      <scheme val="minor"/>
    </font>
    <font>
      <sz val="9"/>
      <color rgb="FF9CA3AF"/>
      <name val="Calibri"/>
      <family val="2"/>
      <scheme val="minor"/>
    </font>
    <font>
      <i/>
      <sz val="9"/>
      <color rgb="FF374151"/>
      <name val="Calibri"/>
      <family val="2"/>
      <scheme val="minor"/>
    </font>
    <font>
      <i/>
      <sz val="11"/>
      <color rgb="FF9CA3AF"/>
      <name val="Calibri"/>
      <family val="2"/>
      <scheme val="minor"/>
    </font>
    <font>
      <b/>
      <sz val="11"/>
      <color rgb="FF1D4ED8"/>
      <name val="Calibri"/>
      <family val="2"/>
      <scheme val="minor"/>
    </font>
    <font>
      <b/>
      <sz val="11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sz val="8"/>
      <color rgb="FF1D4ED8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DC2626"/>
      <name val="Calibri"/>
      <family val="2"/>
      <scheme val="minor"/>
    </font>
    <font>
      <sz val="9"/>
      <color rgb="FF1D4ED8"/>
      <name val="Calibri"/>
      <family val="2"/>
      <scheme val="minor"/>
    </font>
    <font>
      <b/>
      <sz val="10"/>
      <color rgb="FF14532D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14532D"/>
        <bgColor indexed="64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5" borderId="2" xfId="0" applyFont="1" applyFill="1" applyBorder="1" applyAlignment="1" applyProtection="1">
      <alignment horizontal="left" vertical="center"/>
      <protection locked="0"/>
    </xf>
    <xf numFmtId="0" fontId="7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6" borderId="0" xfId="0" applyFont="1" applyFill="1" applyAlignment="1">
      <alignment horizontal="right" vertical="center"/>
    </xf>
    <xf numFmtId="0" fontId="6" fillId="5" borderId="0" xfId="0" applyFont="1" applyFill="1" applyAlignment="1" applyProtection="1">
      <alignment horizontal="left" vertical="center"/>
      <protection locked="0"/>
    </xf>
    <xf numFmtId="0" fontId="10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4" fillId="7" borderId="3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/>
    </xf>
    <xf numFmtId="0" fontId="22" fillId="7" borderId="3" xfId="0" applyFont="1" applyFill="1" applyBorder="1" applyAlignment="1" applyProtection="1">
      <alignment horizontal="center" vertical="center"/>
      <protection locked="0"/>
    </xf>
    <xf numFmtId="0" fontId="23" fillId="7" borderId="3" xfId="0" applyFont="1" applyFill="1" applyBorder="1" applyAlignment="1">
      <alignment horizontal="center" vertical="center"/>
    </xf>
    <xf numFmtId="0" fontId="24" fillId="11" borderId="2" xfId="0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 applyProtection="1">
      <alignment horizontal="left" vertical="center" wrapText="1"/>
      <protection locked="0"/>
    </xf>
    <xf numFmtId="0" fontId="25" fillId="7" borderId="3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left" vertical="center" wrapText="1"/>
    </xf>
    <xf numFmtId="0" fontId="24" fillId="12" borderId="2" xfId="0" applyFont="1" applyFill="1" applyBorder="1" applyAlignment="1" applyProtection="1">
      <alignment horizontal="center" vertical="center"/>
      <protection locked="0"/>
    </xf>
    <xf numFmtId="0" fontId="25" fillId="13" borderId="3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7" fillId="14" borderId="4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/>
    </xf>
    <xf numFmtId="0" fontId="28" fillId="13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9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b/>
        <color rgb="FFDC2626"/>
      </font>
      <fill>
        <patternFill>
          <bgColor rgb="FFFEF2F2"/>
        </patternFill>
      </fill>
      <border>
        <left style="thin">
          <color rgb="FFFECACA"/>
        </left>
        <right style="thin">
          <color rgb="FFFECACA"/>
        </right>
        <top style="thin">
          <color rgb="FFFECACA"/>
        </top>
        <bottom style="thin">
          <color rgb="FFFECACA"/>
        </bottom>
        <vertical/>
        <horizontal/>
      </border>
    </dxf>
    <dxf>
      <font>
        <b/>
        <color rgb="FFD97706"/>
      </font>
      <fill>
        <patternFill>
          <bgColor rgb="FFFFFBEB"/>
        </patternFill>
      </fill>
      <border>
        <left style="thin">
          <color rgb="FFFDE68A"/>
        </left>
        <right style="thin">
          <color rgb="FFFDE68A"/>
        </right>
        <top style="thin">
          <color rgb="FFFDE68A"/>
        </top>
        <bottom style="thin">
          <color rgb="FFFDE68A"/>
        </bottom>
        <vertical/>
        <horizontal/>
      </border>
    </dxf>
    <dxf>
      <font>
        <b/>
        <color rgb="FF15803D"/>
      </font>
      <fill>
        <patternFill>
          <bgColor rgb="FFF0FDF4"/>
        </patternFill>
      </fill>
      <border>
        <left style="thin">
          <color rgb="FFBBF7D0"/>
        </left>
        <right style="thin">
          <color rgb="FFBBF7D0"/>
        </right>
        <top style="thin">
          <color rgb="FFBBF7D0"/>
        </top>
        <bottom style="thin">
          <color rgb="FFBBF7D0"/>
        </bottom>
        <vertical/>
        <horizontal/>
      </border>
    </dxf>
    <dxf>
      <font>
        <b/>
        <color rgb="FF6B7280"/>
      </font>
      <fill>
        <patternFill>
          <bgColor rgb="FFF9FAFB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zoomScale="90" zoomScaleNormal="90" workbookViewId="0"/>
  </sheetViews>
  <sheetFormatPr defaultRowHeight="15"/>
  <cols>
    <col min="1" max="1" width="4.7109375" customWidth="1"/>
    <col min="2" max="2" width="26.7109375" customWidth="1"/>
    <col min="3" max="3" width="64.7109375" customWidth="1"/>
  </cols>
  <sheetData>
    <row r="1" spans="1:3" ht="52" customHeight="1">
      <c r="A1" s="1" t="s">
        <v>0</v>
      </c>
      <c r="B1" s="1"/>
      <c r="C1" s="1"/>
    </row>
    <row r="2" spans="1:3" ht="22" customHeight="1">
      <c r="C2" s="2" t="s">
        <v>1</v>
      </c>
    </row>
    <row r="5" spans="1:3" ht="28" customHeight="1">
      <c r="A5" s="3" t="s">
        <v>2</v>
      </c>
      <c r="B5" s="3"/>
      <c r="C5" s="3"/>
    </row>
    <row r="6" spans="1:3" ht="28" customHeight="1">
      <c r="A6" s="4"/>
      <c r="B6" s="5" t="s">
        <v>3</v>
      </c>
      <c r="C6" s="4" t="s">
        <v>4</v>
      </c>
    </row>
    <row r="7" spans="1:3" ht="28" customHeight="1">
      <c r="A7" s="6"/>
      <c r="B7" s="5" t="s">
        <v>5</v>
      </c>
      <c r="C7" s="6" t="s">
        <v>6</v>
      </c>
    </row>
    <row r="8" spans="1:3" ht="28" customHeight="1">
      <c r="A8" s="4"/>
      <c r="B8" s="5" t="s">
        <v>7</v>
      </c>
      <c r="C8" s="4" t="s">
        <v>8</v>
      </c>
    </row>
    <row r="9" spans="1:3" ht="28" customHeight="1">
      <c r="A9" s="6"/>
      <c r="B9" s="5" t="s">
        <v>9</v>
      </c>
      <c r="C9" s="6" t="s">
        <v>10</v>
      </c>
    </row>
    <row r="11" spans="1:3" ht="28" customHeight="1">
      <c r="A11" s="3" t="s">
        <v>11</v>
      </c>
      <c r="B11" s="3"/>
      <c r="C11" s="3"/>
    </row>
    <row r="12" spans="1:3" ht="22" customHeight="1">
      <c r="A12" s="4"/>
      <c r="B12" s="5" t="s">
        <v>12</v>
      </c>
      <c r="C12" s="4" t="s">
        <v>13</v>
      </c>
    </row>
    <row r="13" spans="1:3" ht="22" customHeight="1">
      <c r="A13" s="6"/>
      <c r="B13" s="5" t="s">
        <v>14</v>
      </c>
      <c r="C13" s="6" t="s">
        <v>15</v>
      </c>
    </row>
    <row r="14" spans="1:3" ht="22" customHeight="1">
      <c r="A14" s="4"/>
      <c r="B14" s="5" t="s">
        <v>16</v>
      </c>
      <c r="C14" s="4" t="s">
        <v>17</v>
      </c>
    </row>
    <row r="15" spans="1:3" ht="22" customHeight="1">
      <c r="A15" s="6"/>
      <c r="B15" s="5" t="s">
        <v>18</v>
      </c>
      <c r="C15" s="6" t="s">
        <v>19</v>
      </c>
    </row>
    <row r="16" spans="1:3" ht="22" customHeight="1">
      <c r="A16" s="4"/>
      <c r="B16" s="5" t="s">
        <v>20</v>
      </c>
      <c r="C16" s="4" t="s">
        <v>21</v>
      </c>
    </row>
    <row r="17" spans="1:3" ht="22" customHeight="1">
      <c r="A17" s="6"/>
      <c r="B17" s="5" t="s">
        <v>22</v>
      </c>
      <c r="C17" s="6" t="s">
        <v>23</v>
      </c>
    </row>
    <row r="18" spans="1:3" ht="22" customHeight="1">
      <c r="A18" s="4"/>
      <c r="B18" s="5" t="s">
        <v>24</v>
      </c>
      <c r="C18" s="4" t="s">
        <v>25</v>
      </c>
    </row>
    <row r="20" spans="1:3" ht="28" customHeight="1">
      <c r="A20" s="3" t="s">
        <v>26</v>
      </c>
      <c r="B20" s="3"/>
      <c r="C20" s="3"/>
    </row>
    <row r="21" spans="1:3" ht="22" customHeight="1">
      <c r="A21" s="6"/>
      <c r="B21" s="5" t="s">
        <v>27</v>
      </c>
      <c r="C21" s="7" t="s">
        <v>28</v>
      </c>
    </row>
    <row r="22" spans="1:3" ht="22" customHeight="1">
      <c r="A22" s="6"/>
      <c r="B22" s="5" t="s">
        <v>29</v>
      </c>
      <c r="C22" s="7" t="s">
        <v>30</v>
      </c>
    </row>
    <row r="23" spans="1:3" ht="22" customHeight="1">
      <c r="A23" s="6"/>
      <c r="B23" s="5" t="s">
        <v>31</v>
      </c>
      <c r="C23" s="7" t="s">
        <v>32</v>
      </c>
    </row>
    <row r="24" spans="1:3" ht="22" customHeight="1">
      <c r="A24" s="6"/>
      <c r="B24" s="5" t="s">
        <v>33</v>
      </c>
      <c r="C24" s="7" t="s">
        <v>34</v>
      </c>
    </row>
    <row r="25" spans="1:3" ht="22" customHeight="1">
      <c r="A25" s="6"/>
      <c r="B25" s="5" t="s">
        <v>35</v>
      </c>
      <c r="C25" s="7" t="s">
        <v>36</v>
      </c>
    </row>
    <row r="28" spans="1:3">
      <c r="A28" s="8" t="s">
        <v>37</v>
      </c>
      <c r="B28" s="8"/>
      <c r="C28" s="8"/>
    </row>
  </sheetData>
  <sheetProtection sheet="1" objects="1" scenarios="1"/>
  <mergeCells count="5">
    <mergeCell ref="A1:C1"/>
    <mergeCell ref="A5:C5"/>
    <mergeCell ref="A11:C11"/>
    <mergeCell ref="A20:C20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5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  <col min="17" max="17" width="12.7109375" customWidth="1"/>
  </cols>
  <sheetData>
    <row r="1" spans="1:17" ht="44" customHeight="1">
      <c r="A1" s="9" t="s">
        <v>38</v>
      </c>
      <c r="B1" s="9"/>
      <c r="C1" s="9"/>
      <c r="D1" s="9"/>
      <c r="E1" s="9"/>
      <c r="F1" s="9"/>
      <c r="G1" s="9"/>
      <c r="H1" s="9"/>
      <c r="I1" s="9"/>
      <c r="J1" s="9"/>
      <c r="K1" s="2" t="s">
        <v>39</v>
      </c>
      <c r="L1" s="2"/>
      <c r="M1" s="2"/>
      <c r="N1" s="2"/>
      <c r="O1" s="2"/>
      <c r="P1" s="2"/>
      <c r="Q1" s="2"/>
    </row>
    <row r="2" spans="1:17" ht="22" customHeight="1">
      <c r="A2" s="10" t="s">
        <v>40</v>
      </c>
      <c r="B2" s="11" t="s">
        <v>28</v>
      </c>
      <c r="C2" s="11"/>
      <c r="D2" s="11"/>
      <c r="E2" s="10" t="s">
        <v>41</v>
      </c>
      <c r="F2" s="12">
        <f>COUNTA(C5:C42)</f>
        <v>0</v>
      </c>
      <c r="G2" s="10" t="s">
        <v>42</v>
      </c>
      <c r="H2" s="13">
        <f>COUNTIF(J5:J42,"Kritiek")</f>
        <v>0</v>
      </c>
      <c r="I2" s="10" t="s">
        <v>43</v>
      </c>
      <c r="J2" s="14">
        <f>COUNTIF(J5:J42,"Hoog")</f>
        <v>0</v>
      </c>
      <c r="K2" s="10" t="s">
        <v>44</v>
      </c>
      <c r="L2" s="15">
        <f>COUNTIF(J5:J42,"Middel")</f>
        <v>0</v>
      </c>
      <c r="M2" s="10" t="s">
        <v>45</v>
      </c>
      <c r="N2" s="11" t="s">
        <v>32</v>
      </c>
      <c r="O2" s="11"/>
      <c r="P2" s="11"/>
      <c r="Q2" s="11"/>
    </row>
    <row r="3" spans="1:17" ht="18" customHeight="1">
      <c r="A3" s="16" t="s">
        <v>46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40" customHeight="1">
      <c r="A4" s="17" t="s">
        <v>47</v>
      </c>
      <c r="B4" s="17" t="s">
        <v>48</v>
      </c>
      <c r="C4" s="17" t="s">
        <v>49</v>
      </c>
      <c r="D4" s="17" t="s">
        <v>50</v>
      </c>
      <c r="E4" s="18" t="s">
        <v>51</v>
      </c>
      <c r="F4" s="18" t="s">
        <v>52</v>
      </c>
      <c r="G4" s="19" t="s">
        <v>53</v>
      </c>
      <c r="H4" s="19" t="s">
        <v>54</v>
      </c>
      <c r="I4" s="17" t="s">
        <v>55</v>
      </c>
      <c r="J4" s="17" t="s">
        <v>56</v>
      </c>
      <c r="K4" s="17" t="s">
        <v>57</v>
      </c>
      <c r="L4" s="17" t="s">
        <v>58</v>
      </c>
      <c r="M4" s="17" t="s">
        <v>59</v>
      </c>
      <c r="N4" s="17" t="s">
        <v>60</v>
      </c>
      <c r="O4" s="19" t="s">
        <v>61</v>
      </c>
      <c r="P4" s="19" t="s">
        <v>62</v>
      </c>
      <c r="Q4" s="20" t="s">
        <v>63</v>
      </c>
    </row>
    <row r="5" spans="1:17" ht="38" customHeight="1">
      <c r="A5" s="21" t="s">
        <v>64</v>
      </c>
      <c r="B5" s="22" t="s">
        <v>65</v>
      </c>
      <c r="C5" s="23" t="s">
        <v>66</v>
      </c>
      <c r="D5" s="23" t="s">
        <v>67</v>
      </c>
      <c r="E5" s="24">
        <v>5</v>
      </c>
      <c r="F5" s="24">
        <v>5</v>
      </c>
      <c r="G5" s="25">
        <v>5</v>
      </c>
      <c r="H5" s="25">
        <v>5</v>
      </c>
      <c r="I5" s="26">
        <f>IF(AND(ISNUMBER(G5),ISNUMBER(H5)),G5*H5,"—")</f>
        <v>0</v>
      </c>
      <c r="J5" s="26">
        <f>IF(AND(ISNUMBER(I5),I5&gt;=15),"Kritiek",IF(AND(ISNUMBER(I5),I5&gt;=8),"Hoog",IF(AND(ISNUMBER(I5),I5&gt;=4),"Middel",IF(ISNUMBER(I5),"Laag","—"))))</f>
        <v>0</v>
      </c>
      <c r="K5" s="23" t="s">
        <v>68</v>
      </c>
      <c r="L5" s="23" t="s">
        <v>69</v>
      </c>
      <c r="M5" s="27" t="s">
        <v>70</v>
      </c>
      <c r="N5" s="28"/>
      <c r="O5" s="29" t="s">
        <v>71</v>
      </c>
      <c r="P5" s="29" t="s">
        <v>72</v>
      </c>
      <c r="Q5" s="27" t="s">
        <v>73</v>
      </c>
    </row>
    <row r="6" spans="1:17" ht="38" customHeight="1">
      <c r="A6" s="30" t="s">
        <v>74</v>
      </c>
      <c r="B6" s="31" t="s">
        <v>65</v>
      </c>
      <c r="C6" s="4" t="s">
        <v>75</v>
      </c>
      <c r="D6" s="4" t="s">
        <v>76</v>
      </c>
      <c r="E6" s="24">
        <v>2</v>
      </c>
      <c r="F6" s="24">
        <v>4</v>
      </c>
      <c r="G6" s="25">
        <v>2</v>
      </c>
      <c r="H6" s="25">
        <v>4</v>
      </c>
      <c r="I6" s="26">
        <f>IF(AND(ISNUMBER(G6),ISNUMBER(H6)),G6*H6,"—")</f>
        <v>0</v>
      </c>
      <c r="J6" s="26">
        <f>IF(AND(ISNUMBER(I6),I6&gt;=15),"Kritiek",IF(AND(ISNUMBER(I6),I6&gt;=8),"Hoog",IF(AND(ISNUMBER(I6),I6&gt;=4),"Middel",IF(ISNUMBER(I6),"Laag","—"))))</f>
        <v>0</v>
      </c>
      <c r="K6" s="4" t="s">
        <v>77</v>
      </c>
      <c r="L6" s="4" t="s">
        <v>78</v>
      </c>
      <c r="M6" s="32" t="s">
        <v>70</v>
      </c>
      <c r="N6" s="28"/>
      <c r="O6" s="33" t="s">
        <v>71</v>
      </c>
      <c r="P6" s="33" t="s">
        <v>79</v>
      </c>
      <c r="Q6" s="32" t="s">
        <v>73</v>
      </c>
    </row>
    <row r="7" spans="1:17" ht="38" customHeight="1">
      <c r="A7" s="21" t="s">
        <v>80</v>
      </c>
      <c r="B7" s="22" t="s">
        <v>65</v>
      </c>
      <c r="C7" s="23" t="s">
        <v>81</v>
      </c>
      <c r="D7" s="23" t="s">
        <v>82</v>
      </c>
      <c r="E7" s="24">
        <v>2</v>
      </c>
      <c r="F7" s="24">
        <v>5</v>
      </c>
      <c r="G7" s="25">
        <v>2</v>
      </c>
      <c r="H7" s="25">
        <v>5</v>
      </c>
      <c r="I7" s="26">
        <f>IF(AND(ISNUMBER(G7),ISNUMBER(H7)),G7*H7,"—")</f>
        <v>0</v>
      </c>
      <c r="J7" s="26">
        <f>IF(AND(ISNUMBER(I7),I7&gt;=15),"Kritiek",IF(AND(ISNUMBER(I7),I7&gt;=8),"Hoog",IF(AND(ISNUMBER(I7),I7&gt;=4),"Middel",IF(ISNUMBER(I7),"Laag","—"))))</f>
        <v>0</v>
      </c>
      <c r="K7" s="23" t="s">
        <v>83</v>
      </c>
      <c r="L7" s="23" t="s">
        <v>84</v>
      </c>
      <c r="M7" s="27" t="s">
        <v>70</v>
      </c>
      <c r="N7" s="28"/>
      <c r="O7" s="29" t="s">
        <v>85</v>
      </c>
      <c r="P7" s="29" t="s">
        <v>86</v>
      </c>
      <c r="Q7" s="27" t="s">
        <v>73</v>
      </c>
    </row>
    <row r="8" spans="1:17" ht="38" customHeight="1">
      <c r="A8" s="30" t="s">
        <v>87</v>
      </c>
      <c r="B8" s="31" t="s">
        <v>65</v>
      </c>
      <c r="C8" s="4" t="s">
        <v>88</v>
      </c>
      <c r="D8" s="4" t="s">
        <v>89</v>
      </c>
      <c r="E8" s="24">
        <v>4</v>
      </c>
      <c r="F8" s="24">
        <v>4</v>
      </c>
      <c r="G8" s="25">
        <v>4</v>
      </c>
      <c r="H8" s="25">
        <v>4</v>
      </c>
      <c r="I8" s="26">
        <f>IF(AND(ISNUMBER(G8),ISNUMBER(H8)),G8*H8,"—")</f>
        <v>0</v>
      </c>
      <c r="J8" s="26">
        <f>IF(AND(ISNUMBER(I8),I8&gt;=15),"Kritiek",IF(AND(ISNUMBER(I8),I8&gt;=8),"Hoog",IF(AND(ISNUMBER(I8),I8&gt;=4),"Middel",IF(ISNUMBER(I8),"Laag","—"))))</f>
        <v>0</v>
      </c>
      <c r="K8" s="4" t="s">
        <v>90</v>
      </c>
      <c r="L8" s="4" t="s">
        <v>91</v>
      </c>
      <c r="M8" s="32" t="s">
        <v>70</v>
      </c>
      <c r="N8" s="28"/>
      <c r="O8" s="33" t="s">
        <v>92</v>
      </c>
      <c r="P8" s="33" t="s">
        <v>93</v>
      </c>
      <c r="Q8" s="32" t="s">
        <v>73</v>
      </c>
    </row>
    <row r="9" spans="1:17" ht="38" customHeight="1">
      <c r="A9" s="21" t="s">
        <v>94</v>
      </c>
      <c r="B9" s="22" t="s">
        <v>95</v>
      </c>
      <c r="C9" s="23" t="s">
        <v>96</v>
      </c>
      <c r="D9" s="23" t="s">
        <v>97</v>
      </c>
      <c r="E9" s="24">
        <v>5</v>
      </c>
      <c r="F9" s="24">
        <v>3</v>
      </c>
      <c r="G9" s="25">
        <v>5</v>
      </c>
      <c r="H9" s="25">
        <v>3</v>
      </c>
      <c r="I9" s="26">
        <f>IF(AND(ISNUMBER(G9),ISNUMBER(H9)),G9*H9,"—")</f>
        <v>0</v>
      </c>
      <c r="J9" s="26">
        <f>IF(AND(ISNUMBER(I9),I9&gt;=15),"Kritiek",IF(AND(ISNUMBER(I9),I9&gt;=8),"Hoog",IF(AND(ISNUMBER(I9),I9&gt;=4),"Middel",IF(ISNUMBER(I9),"Laag","—"))))</f>
        <v>0</v>
      </c>
      <c r="K9" s="23" t="s">
        <v>98</v>
      </c>
      <c r="L9" s="23" t="s">
        <v>99</v>
      </c>
      <c r="M9" s="27" t="s">
        <v>70</v>
      </c>
      <c r="N9" s="28"/>
      <c r="O9" s="29" t="s">
        <v>100</v>
      </c>
      <c r="P9" s="29" t="s">
        <v>101</v>
      </c>
      <c r="Q9" s="27" t="s">
        <v>73</v>
      </c>
    </row>
    <row r="10" spans="1:17" ht="38" customHeight="1">
      <c r="A10" s="30" t="s">
        <v>102</v>
      </c>
      <c r="B10" s="31" t="s">
        <v>95</v>
      </c>
      <c r="C10" s="4" t="s">
        <v>103</v>
      </c>
      <c r="D10" s="4" t="s">
        <v>104</v>
      </c>
      <c r="E10" s="24">
        <v>5</v>
      </c>
      <c r="F10" s="24">
        <v>3</v>
      </c>
      <c r="G10" s="25">
        <v>5</v>
      </c>
      <c r="H10" s="25">
        <v>3</v>
      </c>
      <c r="I10" s="26">
        <f>IF(AND(ISNUMBER(G10),ISNUMBER(H10)),G10*H10,"—")</f>
        <v>0</v>
      </c>
      <c r="J10" s="26">
        <f>IF(AND(ISNUMBER(I10),I10&gt;=15),"Kritiek",IF(AND(ISNUMBER(I10),I10&gt;=8),"Hoog",IF(AND(ISNUMBER(I10),I10&gt;=4),"Middel",IF(ISNUMBER(I10),"Laag","—"))))</f>
        <v>0</v>
      </c>
      <c r="K10" s="4" t="s">
        <v>105</v>
      </c>
      <c r="L10" s="4" t="s">
        <v>106</v>
      </c>
      <c r="M10" s="32" t="s">
        <v>70</v>
      </c>
      <c r="N10" s="28"/>
      <c r="O10" s="33" t="s">
        <v>107</v>
      </c>
      <c r="P10" s="33" t="s">
        <v>108</v>
      </c>
      <c r="Q10" s="32" t="s">
        <v>73</v>
      </c>
    </row>
    <row r="11" spans="1:17" ht="38" customHeight="1">
      <c r="A11" s="21" t="s">
        <v>109</v>
      </c>
      <c r="B11" s="22" t="s">
        <v>110</v>
      </c>
      <c r="C11" s="23" t="s">
        <v>111</v>
      </c>
      <c r="D11" s="23" t="s">
        <v>112</v>
      </c>
      <c r="E11" s="24">
        <v>3</v>
      </c>
      <c r="F11" s="24">
        <v>5</v>
      </c>
      <c r="G11" s="25">
        <v>3</v>
      </c>
      <c r="H11" s="25">
        <v>5</v>
      </c>
      <c r="I11" s="26">
        <f>IF(AND(ISNUMBER(G11),ISNUMBER(H11)),G11*H11,"—")</f>
        <v>0</v>
      </c>
      <c r="J11" s="26">
        <f>IF(AND(ISNUMBER(I11),I11&gt;=15),"Kritiek",IF(AND(ISNUMBER(I11),I11&gt;=8),"Hoog",IF(AND(ISNUMBER(I11),I11&gt;=4),"Middel",IF(ISNUMBER(I11),"Laag","—"))))</f>
        <v>0</v>
      </c>
      <c r="K11" s="23" t="s">
        <v>113</v>
      </c>
      <c r="L11" s="23" t="s">
        <v>114</v>
      </c>
      <c r="M11" s="27" t="s">
        <v>70</v>
      </c>
      <c r="N11" s="28"/>
      <c r="O11" s="29" t="s">
        <v>115</v>
      </c>
      <c r="P11" s="29" t="s">
        <v>116</v>
      </c>
      <c r="Q11" s="27" t="s">
        <v>73</v>
      </c>
    </row>
    <row r="12" spans="1:17" ht="38" customHeight="1">
      <c r="A12" s="30" t="s">
        <v>117</v>
      </c>
      <c r="B12" s="31" t="s">
        <v>110</v>
      </c>
      <c r="C12" s="4" t="s">
        <v>118</v>
      </c>
      <c r="D12" s="4" t="s">
        <v>119</v>
      </c>
      <c r="E12" s="24">
        <v>3</v>
      </c>
      <c r="F12" s="24">
        <v>4</v>
      </c>
      <c r="G12" s="25">
        <v>3</v>
      </c>
      <c r="H12" s="25">
        <v>4</v>
      </c>
      <c r="I12" s="26">
        <f>IF(AND(ISNUMBER(G12),ISNUMBER(H12)),G12*H12,"—")</f>
        <v>0</v>
      </c>
      <c r="J12" s="26">
        <f>IF(AND(ISNUMBER(I12),I12&gt;=15),"Kritiek",IF(AND(ISNUMBER(I12),I12&gt;=8),"Hoog",IF(AND(ISNUMBER(I12),I12&gt;=4),"Middel",IF(ISNUMBER(I12),"Laag","—"))))</f>
        <v>0</v>
      </c>
      <c r="K12" s="4" t="s">
        <v>120</v>
      </c>
      <c r="L12" s="4" t="s">
        <v>121</v>
      </c>
      <c r="M12" s="32" t="s">
        <v>70</v>
      </c>
      <c r="N12" s="28"/>
      <c r="O12" s="33" t="s">
        <v>122</v>
      </c>
      <c r="P12" s="33" t="s">
        <v>123</v>
      </c>
      <c r="Q12" s="32" t="s">
        <v>73</v>
      </c>
    </row>
    <row r="13" spans="1:17" ht="38" customHeight="1">
      <c r="A13" s="21" t="s">
        <v>124</v>
      </c>
      <c r="B13" s="22" t="s">
        <v>110</v>
      </c>
      <c r="C13" s="23" t="s">
        <v>125</v>
      </c>
      <c r="D13" s="23" t="s">
        <v>126</v>
      </c>
      <c r="E13" s="24">
        <v>3</v>
      </c>
      <c r="F13" s="24">
        <v>4</v>
      </c>
      <c r="G13" s="25">
        <v>3</v>
      </c>
      <c r="H13" s="25">
        <v>4</v>
      </c>
      <c r="I13" s="26">
        <f>IF(AND(ISNUMBER(G13),ISNUMBER(H13)),G13*H13,"—")</f>
        <v>0</v>
      </c>
      <c r="J13" s="26">
        <f>IF(AND(ISNUMBER(I13),I13&gt;=15),"Kritiek",IF(AND(ISNUMBER(I13),I13&gt;=8),"Hoog",IF(AND(ISNUMBER(I13),I13&gt;=4),"Middel",IF(ISNUMBER(I13),"Laag","—"))))</f>
        <v>0</v>
      </c>
      <c r="K13" s="23" t="s">
        <v>127</v>
      </c>
      <c r="L13" s="23" t="s">
        <v>128</v>
      </c>
      <c r="M13" s="27" t="s">
        <v>70</v>
      </c>
      <c r="N13" s="28"/>
      <c r="O13" s="29" t="s">
        <v>122</v>
      </c>
      <c r="P13" s="29" t="s">
        <v>129</v>
      </c>
      <c r="Q13" s="27" t="s">
        <v>73</v>
      </c>
    </row>
    <row r="14" spans="1:17" ht="38" customHeight="1">
      <c r="A14" s="30" t="s">
        <v>130</v>
      </c>
      <c r="B14" s="31" t="s">
        <v>131</v>
      </c>
      <c r="C14" s="4" t="s">
        <v>132</v>
      </c>
      <c r="D14" s="4" t="s">
        <v>133</v>
      </c>
      <c r="E14" s="24">
        <v>5</v>
      </c>
      <c r="F14" s="24">
        <v>3</v>
      </c>
      <c r="G14" s="25">
        <v>5</v>
      </c>
      <c r="H14" s="25">
        <v>3</v>
      </c>
      <c r="I14" s="26">
        <f>IF(AND(ISNUMBER(G14),ISNUMBER(H14)),G14*H14,"—")</f>
        <v>0</v>
      </c>
      <c r="J14" s="26">
        <f>IF(AND(ISNUMBER(I14),I14&gt;=15),"Kritiek",IF(AND(ISNUMBER(I14),I14&gt;=8),"Hoog",IF(AND(ISNUMBER(I14),I14&gt;=4),"Middel",IF(ISNUMBER(I14),"Laag","—"))))</f>
        <v>0</v>
      </c>
      <c r="K14" s="4" t="s">
        <v>134</v>
      </c>
      <c r="L14" s="4" t="s">
        <v>135</v>
      </c>
      <c r="M14" s="32" t="s">
        <v>70</v>
      </c>
      <c r="N14" s="28"/>
      <c r="O14" s="33" t="s">
        <v>136</v>
      </c>
      <c r="P14" s="33" t="s">
        <v>137</v>
      </c>
      <c r="Q14" s="32" t="s">
        <v>73</v>
      </c>
    </row>
    <row r="15" spans="1:17" ht="38" customHeight="1">
      <c r="A15" s="21" t="s">
        <v>138</v>
      </c>
      <c r="B15" s="22" t="s">
        <v>131</v>
      </c>
      <c r="C15" s="23" t="s">
        <v>139</v>
      </c>
      <c r="D15" s="23" t="s">
        <v>140</v>
      </c>
      <c r="E15" s="24">
        <v>3</v>
      </c>
      <c r="F15" s="24">
        <v>5</v>
      </c>
      <c r="G15" s="25">
        <v>3</v>
      </c>
      <c r="H15" s="25">
        <v>5</v>
      </c>
      <c r="I15" s="26">
        <f>IF(AND(ISNUMBER(G15),ISNUMBER(H15)),G15*H15,"—")</f>
        <v>0</v>
      </c>
      <c r="J15" s="26">
        <f>IF(AND(ISNUMBER(I15),I15&gt;=15),"Kritiek",IF(AND(ISNUMBER(I15),I15&gt;=8),"Hoog",IF(AND(ISNUMBER(I15),I15&gt;=4),"Middel",IF(ISNUMBER(I15),"Laag","—"))))</f>
        <v>0</v>
      </c>
      <c r="K15" s="23" t="s">
        <v>141</v>
      </c>
      <c r="L15" s="23" t="s">
        <v>142</v>
      </c>
      <c r="M15" s="27" t="s">
        <v>70</v>
      </c>
      <c r="N15" s="28"/>
      <c r="O15" s="29" t="s">
        <v>143</v>
      </c>
      <c r="P15" s="29" t="s">
        <v>144</v>
      </c>
      <c r="Q15" s="27" t="s">
        <v>73</v>
      </c>
    </row>
    <row r="16" spans="1:17" ht="38" customHeight="1">
      <c r="A16" s="30" t="s">
        <v>145</v>
      </c>
      <c r="B16" s="31" t="s">
        <v>131</v>
      </c>
      <c r="C16" s="4" t="s">
        <v>146</v>
      </c>
      <c r="D16" s="4" t="s">
        <v>147</v>
      </c>
      <c r="E16" s="24">
        <v>4</v>
      </c>
      <c r="F16" s="24">
        <v>4</v>
      </c>
      <c r="G16" s="25">
        <v>4</v>
      </c>
      <c r="H16" s="25">
        <v>4</v>
      </c>
      <c r="I16" s="26">
        <f>IF(AND(ISNUMBER(G16),ISNUMBER(H16)),G16*H16,"—")</f>
        <v>0</v>
      </c>
      <c r="J16" s="26">
        <f>IF(AND(ISNUMBER(I16),I16&gt;=15),"Kritiek",IF(AND(ISNUMBER(I16),I16&gt;=8),"Hoog",IF(AND(ISNUMBER(I16),I16&gt;=4),"Middel",IF(ISNUMBER(I16),"Laag","—"))))</f>
        <v>0</v>
      </c>
      <c r="K16" s="4" t="s">
        <v>148</v>
      </c>
      <c r="L16" s="4" t="s">
        <v>149</v>
      </c>
      <c r="M16" s="32" t="s">
        <v>70</v>
      </c>
      <c r="N16" s="28"/>
      <c r="O16" s="33" t="s">
        <v>150</v>
      </c>
      <c r="P16" s="33" t="s">
        <v>151</v>
      </c>
      <c r="Q16" s="32" t="s">
        <v>73</v>
      </c>
    </row>
    <row r="17" spans="1:17" ht="38" customHeight="1">
      <c r="A17" s="21" t="s">
        <v>152</v>
      </c>
      <c r="B17" s="22" t="s">
        <v>153</v>
      </c>
      <c r="C17" s="23" t="s">
        <v>154</v>
      </c>
      <c r="D17" s="23" t="s">
        <v>155</v>
      </c>
      <c r="E17" s="24">
        <v>4</v>
      </c>
      <c r="F17" s="24">
        <v>5</v>
      </c>
      <c r="G17" s="25">
        <v>4</v>
      </c>
      <c r="H17" s="25">
        <v>5</v>
      </c>
      <c r="I17" s="26">
        <f>IF(AND(ISNUMBER(G17),ISNUMBER(H17)),G17*H17,"—")</f>
        <v>0</v>
      </c>
      <c r="J17" s="26">
        <f>IF(AND(ISNUMBER(I17),I17&gt;=15),"Kritiek",IF(AND(ISNUMBER(I17),I17&gt;=8),"Hoog",IF(AND(ISNUMBER(I17),I17&gt;=4),"Middel",IF(ISNUMBER(I17),"Laag","—"))))</f>
        <v>0</v>
      </c>
      <c r="K17" s="23" t="s">
        <v>156</v>
      </c>
      <c r="L17" s="23" t="s">
        <v>157</v>
      </c>
      <c r="M17" s="27" t="s">
        <v>70</v>
      </c>
      <c r="N17" s="28"/>
      <c r="O17" s="29" t="s">
        <v>158</v>
      </c>
      <c r="P17" s="29" t="s">
        <v>159</v>
      </c>
      <c r="Q17" s="27" t="s">
        <v>73</v>
      </c>
    </row>
    <row r="18" spans="1:17" ht="38" customHeight="1">
      <c r="A18" s="30" t="s">
        <v>160</v>
      </c>
      <c r="B18" s="31" t="s">
        <v>153</v>
      </c>
      <c r="C18" s="4" t="s">
        <v>161</v>
      </c>
      <c r="D18" s="4" t="s">
        <v>162</v>
      </c>
      <c r="E18" s="24">
        <v>4</v>
      </c>
      <c r="F18" s="24">
        <v>4</v>
      </c>
      <c r="G18" s="25">
        <v>4</v>
      </c>
      <c r="H18" s="25">
        <v>4</v>
      </c>
      <c r="I18" s="26">
        <f>IF(AND(ISNUMBER(G18),ISNUMBER(H18)),G18*H18,"—")</f>
        <v>0</v>
      </c>
      <c r="J18" s="26">
        <f>IF(AND(ISNUMBER(I18),I18&gt;=15),"Kritiek",IF(AND(ISNUMBER(I18),I18&gt;=8),"Hoog",IF(AND(ISNUMBER(I18),I18&gt;=4),"Middel",IF(ISNUMBER(I18),"Laag","—"))))</f>
        <v>0</v>
      </c>
      <c r="K18" s="4" t="s">
        <v>163</v>
      </c>
      <c r="L18" s="4" t="s">
        <v>164</v>
      </c>
      <c r="M18" s="32" t="s">
        <v>70</v>
      </c>
      <c r="N18" s="28"/>
      <c r="O18" s="33" t="s">
        <v>158</v>
      </c>
      <c r="P18" s="33" t="s">
        <v>165</v>
      </c>
      <c r="Q18" s="32" t="s">
        <v>73</v>
      </c>
    </row>
    <row r="19" spans="1:17" ht="38" customHeight="1">
      <c r="A19" s="21" t="s">
        <v>166</v>
      </c>
      <c r="B19" s="22" t="s">
        <v>167</v>
      </c>
      <c r="C19" s="23" t="s">
        <v>168</v>
      </c>
      <c r="D19" s="23" t="s">
        <v>169</v>
      </c>
      <c r="E19" s="24">
        <v>3</v>
      </c>
      <c r="F19" s="24">
        <v>3</v>
      </c>
      <c r="G19" s="25">
        <v>3</v>
      </c>
      <c r="H19" s="25">
        <v>3</v>
      </c>
      <c r="I19" s="26">
        <f>IF(AND(ISNUMBER(G19),ISNUMBER(H19)),G19*H19,"—")</f>
        <v>0</v>
      </c>
      <c r="J19" s="26">
        <f>IF(AND(ISNUMBER(I19),I19&gt;=15),"Kritiek",IF(AND(ISNUMBER(I19),I19&gt;=8),"Hoog",IF(AND(ISNUMBER(I19),I19&gt;=4),"Middel",IF(ISNUMBER(I19),"Laag","—"))))</f>
        <v>0</v>
      </c>
      <c r="K19" s="23" t="s">
        <v>170</v>
      </c>
      <c r="L19" s="23" t="s">
        <v>171</v>
      </c>
      <c r="M19" s="27" t="s">
        <v>70</v>
      </c>
      <c r="N19" s="28"/>
      <c r="O19" s="29" t="s">
        <v>71</v>
      </c>
      <c r="P19" s="29" t="s">
        <v>172</v>
      </c>
      <c r="Q19" s="27" t="s">
        <v>73</v>
      </c>
    </row>
    <row r="20" spans="1:17" ht="38" customHeight="1">
      <c r="A20" s="30" t="s">
        <v>173</v>
      </c>
      <c r="B20" s="31" t="s">
        <v>174</v>
      </c>
      <c r="C20" s="4" t="s">
        <v>175</v>
      </c>
      <c r="D20" s="4" t="s">
        <v>176</v>
      </c>
      <c r="E20" s="24">
        <v>2</v>
      </c>
      <c r="F20" s="24">
        <v>5</v>
      </c>
      <c r="G20" s="25">
        <v>2</v>
      </c>
      <c r="H20" s="25">
        <v>5</v>
      </c>
      <c r="I20" s="26">
        <f>IF(AND(ISNUMBER(G20),ISNUMBER(H20)),G20*H20,"—")</f>
        <v>0</v>
      </c>
      <c r="J20" s="26">
        <f>IF(AND(ISNUMBER(I20),I20&gt;=15),"Kritiek",IF(AND(ISNUMBER(I20),I20&gt;=8),"Hoog",IF(AND(ISNUMBER(I20),I20&gt;=4),"Middel",IF(ISNUMBER(I20),"Laag","—"))))</f>
        <v>0</v>
      </c>
      <c r="K20" s="4" t="s">
        <v>177</v>
      </c>
      <c r="L20" s="4" t="s">
        <v>178</v>
      </c>
      <c r="M20" s="32" t="s">
        <v>70</v>
      </c>
      <c r="N20" s="28"/>
      <c r="O20" s="33" t="s">
        <v>179</v>
      </c>
      <c r="P20" s="33" t="s">
        <v>180</v>
      </c>
      <c r="Q20" s="32" t="s">
        <v>73</v>
      </c>
    </row>
    <row r="21" spans="1:17" ht="38" customHeight="1">
      <c r="A21" s="21" t="s">
        <v>181</v>
      </c>
      <c r="B21" s="22" t="s">
        <v>174</v>
      </c>
      <c r="C21" s="23" t="s">
        <v>182</v>
      </c>
      <c r="D21" s="23" t="s">
        <v>183</v>
      </c>
      <c r="E21" s="24">
        <v>5</v>
      </c>
      <c r="F21" s="24">
        <v>3</v>
      </c>
      <c r="G21" s="25">
        <v>5</v>
      </c>
      <c r="H21" s="25">
        <v>3</v>
      </c>
      <c r="I21" s="26">
        <f>IF(AND(ISNUMBER(G21),ISNUMBER(H21)),G21*H21,"—")</f>
        <v>0</v>
      </c>
      <c r="J21" s="26">
        <f>IF(AND(ISNUMBER(I21),I21&gt;=15),"Kritiek",IF(AND(ISNUMBER(I21),I21&gt;=8),"Hoog",IF(AND(ISNUMBER(I21),I21&gt;=4),"Middel",IF(ISNUMBER(I21),"Laag","—"))))</f>
        <v>0</v>
      </c>
      <c r="K21" s="23" t="s">
        <v>184</v>
      </c>
      <c r="L21" s="23" t="s">
        <v>185</v>
      </c>
      <c r="M21" s="27" t="s">
        <v>70</v>
      </c>
      <c r="N21" s="28"/>
      <c r="O21" s="29" t="s">
        <v>100</v>
      </c>
      <c r="P21" s="29" t="s">
        <v>186</v>
      </c>
      <c r="Q21" s="27" t="s">
        <v>73</v>
      </c>
    </row>
    <row r="22" spans="1:17" ht="38" customHeight="1">
      <c r="A22" s="30" t="s">
        <v>187</v>
      </c>
      <c r="B22" s="31" t="s">
        <v>188</v>
      </c>
      <c r="C22" s="4" t="s">
        <v>189</v>
      </c>
      <c r="D22" s="4" t="s">
        <v>190</v>
      </c>
      <c r="E22" s="24">
        <v>2</v>
      </c>
      <c r="F22" s="24">
        <v>4</v>
      </c>
      <c r="G22" s="25">
        <v>2</v>
      </c>
      <c r="H22" s="25">
        <v>4</v>
      </c>
      <c r="I22" s="26">
        <f>IF(AND(ISNUMBER(G22),ISNUMBER(H22)),G22*H22,"—")</f>
        <v>0</v>
      </c>
      <c r="J22" s="26">
        <f>IF(AND(ISNUMBER(I22),I22&gt;=15),"Kritiek",IF(AND(ISNUMBER(I22),I22&gt;=8),"Hoog",IF(AND(ISNUMBER(I22),I22&gt;=4),"Middel",IF(ISNUMBER(I22),"Laag","—"))))</f>
        <v>0</v>
      </c>
      <c r="K22" s="4" t="s">
        <v>191</v>
      </c>
      <c r="L22" s="4" t="s">
        <v>192</v>
      </c>
      <c r="M22" s="32" t="s">
        <v>70</v>
      </c>
      <c r="N22" s="28"/>
      <c r="O22" s="33" t="s">
        <v>71</v>
      </c>
      <c r="P22" s="33" t="s">
        <v>79</v>
      </c>
      <c r="Q22" s="32" t="s">
        <v>73</v>
      </c>
    </row>
    <row r="23" spans="1:17" ht="38" customHeight="1">
      <c r="A23" s="21" t="s">
        <v>193</v>
      </c>
      <c r="B23" s="22" t="s">
        <v>188</v>
      </c>
      <c r="C23" s="23" t="s">
        <v>194</v>
      </c>
      <c r="D23" s="23" t="s">
        <v>195</v>
      </c>
      <c r="E23" s="24">
        <v>2</v>
      </c>
      <c r="F23" s="24">
        <v>3</v>
      </c>
      <c r="G23" s="25">
        <v>2</v>
      </c>
      <c r="H23" s="25">
        <v>3</v>
      </c>
      <c r="I23" s="26">
        <f>IF(AND(ISNUMBER(G23),ISNUMBER(H23)),G23*H23,"—")</f>
        <v>0</v>
      </c>
      <c r="J23" s="26">
        <f>IF(AND(ISNUMBER(I23),I23&gt;=15),"Kritiek",IF(AND(ISNUMBER(I23),I23&gt;=8),"Hoog",IF(AND(ISNUMBER(I23),I23&gt;=4),"Middel",IF(ISNUMBER(I23),"Laag","—"))))</f>
        <v>0</v>
      </c>
      <c r="K23" s="23" t="s">
        <v>196</v>
      </c>
      <c r="L23" s="23" t="s">
        <v>197</v>
      </c>
      <c r="M23" s="27" t="s">
        <v>70</v>
      </c>
      <c r="N23" s="28"/>
      <c r="O23" s="29" t="s">
        <v>158</v>
      </c>
      <c r="P23" s="29" t="s">
        <v>198</v>
      </c>
      <c r="Q23" s="27" t="s">
        <v>73</v>
      </c>
    </row>
    <row r="24" spans="1:17" ht="38" customHeight="1">
      <c r="A24" s="30" t="s">
        <v>199</v>
      </c>
      <c r="B24" s="31" t="s">
        <v>188</v>
      </c>
      <c r="C24" s="4" t="s">
        <v>200</v>
      </c>
      <c r="D24" s="4" t="s">
        <v>201</v>
      </c>
      <c r="E24" s="24">
        <v>2</v>
      </c>
      <c r="F24" s="24">
        <v>3</v>
      </c>
      <c r="G24" s="25">
        <v>2</v>
      </c>
      <c r="H24" s="25">
        <v>3</v>
      </c>
      <c r="I24" s="26">
        <f>IF(AND(ISNUMBER(G24),ISNUMBER(H24)),G24*H24,"—")</f>
        <v>0</v>
      </c>
      <c r="J24" s="26">
        <f>IF(AND(ISNUMBER(I24),I24&gt;=15),"Kritiek",IF(AND(ISNUMBER(I24),I24&gt;=8),"Hoog",IF(AND(ISNUMBER(I24),I24&gt;=4),"Middel",IF(ISNUMBER(I24),"Laag","—"))))</f>
        <v>0</v>
      </c>
      <c r="K24" s="4" t="s">
        <v>202</v>
      </c>
      <c r="L24" s="4" t="s">
        <v>203</v>
      </c>
      <c r="M24" s="32" t="s">
        <v>70</v>
      </c>
      <c r="N24" s="28"/>
      <c r="O24" s="33" t="s">
        <v>158</v>
      </c>
      <c r="P24" s="33" t="s">
        <v>204</v>
      </c>
      <c r="Q24" s="32" t="s">
        <v>73</v>
      </c>
    </row>
    <row r="25" spans="1:17" ht="38" customHeight="1">
      <c r="A25" s="21" t="s">
        <v>205</v>
      </c>
      <c r="B25" s="22" t="s">
        <v>206</v>
      </c>
      <c r="C25" s="23" t="s">
        <v>207</v>
      </c>
      <c r="D25" s="23" t="s">
        <v>208</v>
      </c>
      <c r="E25" s="24">
        <v>3</v>
      </c>
      <c r="F25" s="24">
        <v>4</v>
      </c>
      <c r="G25" s="25">
        <v>3</v>
      </c>
      <c r="H25" s="25">
        <v>4</v>
      </c>
      <c r="I25" s="26">
        <f>IF(AND(ISNUMBER(G25),ISNUMBER(H25)),G25*H25,"—")</f>
        <v>0</v>
      </c>
      <c r="J25" s="26">
        <f>IF(AND(ISNUMBER(I25),I25&gt;=15),"Kritiek",IF(AND(ISNUMBER(I25),I25&gt;=8),"Hoog",IF(AND(ISNUMBER(I25),I25&gt;=4),"Middel",IF(ISNUMBER(I25),"Laag","—"))))</f>
        <v>0</v>
      </c>
      <c r="K25" s="23" t="s">
        <v>209</v>
      </c>
      <c r="L25" s="23" t="s">
        <v>210</v>
      </c>
      <c r="M25" s="27" t="s">
        <v>70</v>
      </c>
      <c r="N25" s="28"/>
      <c r="O25" s="29" t="s">
        <v>211</v>
      </c>
      <c r="P25" s="29" t="s">
        <v>212</v>
      </c>
      <c r="Q25" s="27" t="s">
        <v>73</v>
      </c>
    </row>
    <row r="26" spans="1:17" ht="38" customHeight="1">
      <c r="A26" s="30" t="s">
        <v>213</v>
      </c>
      <c r="B26" s="31" t="s">
        <v>206</v>
      </c>
      <c r="C26" s="4" t="s">
        <v>214</v>
      </c>
      <c r="D26" s="4" t="s">
        <v>215</v>
      </c>
      <c r="E26" s="24">
        <v>3</v>
      </c>
      <c r="F26" s="24">
        <v>5</v>
      </c>
      <c r="G26" s="25">
        <v>3</v>
      </c>
      <c r="H26" s="25">
        <v>5</v>
      </c>
      <c r="I26" s="26">
        <f>IF(AND(ISNUMBER(G26),ISNUMBER(H26)),G26*H26,"—")</f>
        <v>0</v>
      </c>
      <c r="J26" s="26">
        <f>IF(AND(ISNUMBER(I26),I26&gt;=15),"Kritiek",IF(AND(ISNUMBER(I26),I26&gt;=8),"Hoog",IF(AND(ISNUMBER(I26),I26&gt;=4),"Middel",IF(ISNUMBER(I26),"Laag","—"))))</f>
        <v>0</v>
      </c>
      <c r="K26" s="4" t="s">
        <v>216</v>
      </c>
      <c r="L26" s="4" t="s">
        <v>217</v>
      </c>
      <c r="M26" s="32" t="s">
        <v>70</v>
      </c>
      <c r="N26" s="28"/>
      <c r="O26" s="33" t="s">
        <v>211</v>
      </c>
      <c r="P26" s="33" t="s">
        <v>218</v>
      </c>
      <c r="Q26" s="32" t="s">
        <v>73</v>
      </c>
    </row>
    <row r="27" spans="1:17" ht="38" customHeight="1">
      <c r="A27" s="21" t="s">
        <v>219</v>
      </c>
      <c r="B27" s="22" t="s">
        <v>220</v>
      </c>
      <c r="C27" s="23" t="s">
        <v>221</v>
      </c>
      <c r="D27" s="23" t="s">
        <v>222</v>
      </c>
      <c r="E27" s="24">
        <v>5</v>
      </c>
      <c r="F27" s="24">
        <v>3</v>
      </c>
      <c r="G27" s="25">
        <v>5</v>
      </c>
      <c r="H27" s="25">
        <v>3</v>
      </c>
      <c r="I27" s="26">
        <f>IF(AND(ISNUMBER(G27),ISNUMBER(H27)),G27*H27,"—")</f>
        <v>0</v>
      </c>
      <c r="J27" s="26">
        <f>IF(AND(ISNUMBER(I27),I27&gt;=15),"Kritiek",IF(AND(ISNUMBER(I27),I27&gt;=8),"Hoog",IF(AND(ISNUMBER(I27),I27&gt;=4),"Middel",IF(ISNUMBER(I27),"Laag","—"))))</f>
        <v>0</v>
      </c>
      <c r="K27" s="23" t="s">
        <v>223</v>
      </c>
      <c r="L27" s="23" t="s">
        <v>224</v>
      </c>
      <c r="M27" s="27" t="s">
        <v>70</v>
      </c>
      <c r="N27" s="28"/>
      <c r="O27" s="29" t="s">
        <v>158</v>
      </c>
      <c r="P27" s="29" t="s">
        <v>225</v>
      </c>
      <c r="Q27" s="27" t="s">
        <v>73</v>
      </c>
    </row>
    <row r="28" spans="1:17" ht="38" customHeight="1">
      <c r="A28" s="30" t="s">
        <v>226</v>
      </c>
      <c r="B28" s="31" t="s">
        <v>220</v>
      </c>
      <c r="C28" s="4" t="s">
        <v>227</v>
      </c>
      <c r="D28" s="4" t="s">
        <v>228</v>
      </c>
      <c r="E28" s="24">
        <v>4</v>
      </c>
      <c r="F28" s="24">
        <v>3</v>
      </c>
      <c r="G28" s="25">
        <v>4</v>
      </c>
      <c r="H28" s="25">
        <v>3</v>
      </c>
      <c r="I28" s="26">
        <f>IF(AND(ISNUMBER(G28),ISNUMBER(H28)),G28*H28,"—")</f>
        <v>0</v>
      </c>
      <c r="J28" s="26">
        <f>IF(AND(ISNUMBER(I28),I28&gt;=15),"Kritiek",IF(AND(ISNUMBER(I28),I28&gt;=8),"Hoog",IF(AND(ISNUMBER(I28),I28&gt;=4),"Middel",IF(ISNUMBER(I28),"Laag","—"))))</f>
        <v>0</v>
      </c>
      <c r="K28" s="4" t="s">
        <v>229</v>
      </c>
      <c r="L28" s="4" t="s">
        <v>230</v>
      </c>
      <c r="M28" s="32" t="s">
        <v>70</v>
      </c>
      <c r="N28" s="28"/>
      <c r="O28" s="33" t="s">
        <v>158</v>
      </c>
      <c r="P28" s="33" t="s">
        <v>231</v>
      </c>
      <c r="Q28" s="32" t="s">
        <v>73</v>
      </c>
    </row>
    <row r="29" spans="1:17" ht="38" customHeight="1">
      <c r="A29" s="21" t="s">
        <v>232</v>
      </c>
      <c r="B29" s="22" t="s">
        <v>220</v>
      </c>
      <c r="C29" s="23" t="s">
        <v>233</v>
      </c>
      <c r="D29" s="23" t="s">
        <v>234</v>
      </c>
      <c r="E29" s="24">
        <v>4</v>
      </c>
      <c r="F29" s="24">
        <v>3</v>
      </c>
      <c r="G29" s="25">
        <v>4</v>
      </c>
      <c r="H29" s="25">
        <v>3</v>
      </c>
      <c r="I29" s="26">
        <f>IF(AND(ISNUMBER(G29),ISNUMBER(H29)),G29*H29,"—")</f>
        <v>0</v>
      </c>
      <c r="J29" s="26">
        <f>IF(AND(ISNUMBER(I29),I29&gt;=15),"Kritiek",IF(AND(ISNUMBER(I29),I29&gt;=8),"Hoog",IF(AND(ISNUMBER(I29),I29&gt;=4),"Middel",IF(ISNUMBER(I29),"Laag","—"))))</f>
        <v>0</v>
      </c>
      <c r="K29" s="23" t="s">
        <v>235</v>
      </c>
      <c r="L29" s="23" t="s">
        <v>236</v>
      </c>
      <c r="M29" s="27" t="s">
        <v>70</v>
      </c>
      <c r="N29" s="28"/>
      <c r="O29" s="29" t="s">
        <v>237</v>
      </c>
      <c r="P29" s="29" t="s">
        <v>238</v>
      </c>
      <c r="Q29" s="27" t="s">
        <v>73</v>
      </c>
    </row>
    <row r="30" spans="1:17" ht="38" customHeight="1">
      <c r="A30" s="30" t="s">
        <v>239</v>
      </c>
      <c r="B30" s="31" t="s">
        <v>220</v>
      </c>
      <c r="C30" s="4" t="s">
        <v>240</v>
      </c>
      <c r="D30" s="4" t="s">
        <v>241</v>
      </c>
      <c r="E30" s="24">
        <v>4</v>
      </c>
      <c r="F30" s="24">
        <v>3</v>
      </c>
      <c r="G30" s="25">
        <v>4</v>
      </c>
      <c r="H30" s="25">
        <v>3</v>
      </c>
      <c r="I30" s="26">
        <f>IF(AND(ISNUMBER(G30),ISNUMBER(H30)),G30*H30,"—")</f>
        <v>0</v>
      </c>
      <c r="J30" s="26">
        <f>IF(AND(ISNUMBER(I30),I30&gt;=15),"Kritiek",IF(AND(ISNUMBER(I30),I30&gt;=8),"Hoog",IF(AND(ISNUMBER(I30),I30&gt;=4),"Middel",IF(ISNUMBER(I30),"Laag","—"))))</f>
        <v>0</v>
      </c>
      <c r="K30" s="4" t="s">
        <v>242</v>
      </c>
      <c r="L30" s="4" t="s">
        <v>243</v>
      </c>
      <c r="M30" s="32" t="s">
        <v>70</v>
      </c>
      <c r="N30" s="28"/>
      <c r="O30" s="33" t="s">
        <v>136</v>
      </c>
      <c r="P30" s="33" t="s">
        <v>244</v>
      </c>
      <c r="Q30" s="32" t="s">
        <v>73</v>
      </c>
    </row>
    <row r="31" spans="1:17" ht="38" customHeight="1">
      <c r="A31" s="21" t="s">
        <v>245</v>
      </c>
      <c r="B31" s="22" t="s">
        <v>220</v>
      </c>
      <c r="C31" s="23" t="s">
        <v>246</v>
      </c>
      <c r="D31" s="23" t="s">
        <v>247</v>
      </c>
      <c r="E31" s="24">
        <v>3</v>
      </c>
      <c r="F31" s="24">
        <v>4</v>
      </c>
      <c r="G31" s="25">
        <v>3</v>
      </c>
      <c r="H31" s="25">
        <v>4</v>
      </c>
      <c r="I31" s="26">
        <f>IF(AND(ISNUMBER(G31),ISNUMBER(H31)),G31*H31,"—")</f>
        <v>0</v>
      </c>
      <c r="J31" s="26">
        <f>IF(AND(ISNUMBER(I31),I31&gt;=15),"Kritiek",IF(AND(ISNUMBER(I31),I31&gt;=8),"Hoog",IF(AND(ISNUMBER(I31),I31&gt;=4),"Middel",IF(ISNUMBER(I31),"Laag","—"))))</f>
        <v>0</v>
      </c>
      <c r="K31" s="23" t="s">
        <v>248</v>
      </c>
      <c r="L31" s="23" t="s">
        <v>249</v>
      </c>
      <c r="M31" s="27" t="s">
        <v>70</v>
      </c>
      <c r="N31" s="28"/>
      <c r="O31" s="29" t="s">
        <v>250</v>
      </c>
      <c r="P31" s="29" t="s">
        <v>251</v>
      </c>
      <c r="Q31" s="27" t="s">
        <v>73</v>
      </c>
    </row>
    <row r="32" spans="1:17" ht="38" customHeight="1">
      <c r="A32" s="30" t="s">
        <v>252</v>
      </c>
      <c r="B32" s="31" t="s">
        <v>220</v>
      </c>
      <c r="C32" s="4" t="s">
        <v>253</v>
      </c>
      <c r="D32" s="4" t="s">
        <v>254</v>
      </c>
      <c r="E32" s="24">
        <v>3</v>
      </c>
      <c r="F32" s="24">
        <v>4</v>
      </c>
      <c r="G32" s="25">
        <v>3</v>
      </c>
      <c r="H32" s="25">
        <v>4</v>
      </c>
      <c r="I32" s="26">
        <f>IF(AND(ISNUMBER(G32),ISNUMBER(H32)),G32*H32,"—")</f>
        <v>0</v>
      </c>
      <c r="J32" s="26">
        <f>IF(AND(ISNUMBER(I32),I32&gt;=15),"Kritiek",IF(AND(ISNUMBER(I32),I32&gt;=8),"Hoog",IF(AND(ISNUMBER(I32),I32&gt;=4),"Middel",IF(ISNUMBER(I32),"Laag","—"))))</f>
        <v>0</v>
      </c>
      <c r="K32" s="4" t="s">
        <v>255</v>
      </c>
      <c r="L32" s="4" t="s">
        <v>256</v>
      </c>
      <c r="M32" s="32" t="s">
        <v>70</v>
      </c>
      <c r="N32" s="28"/>
      <c r="O32" s="33" t="s">
        <v>257</v>
      </c>
      <c r="P32" s="33" t="s">
        <v>258</v>
      </c>
      <c r="Q32" s="32" t="s">
        <v>73</v>
      </c>
    </row>
    <row r="33" spans="1:17" ht="24" customHeight="1">
      <c r="A33" s="34" t="s">
        <v>259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4" spans="1:17" ht="38" customHeight="1">
      <c r="A34" s="21" t="s">
        <v>64</v>
      </c>
      <c r="B34" s="22" t="s">
        <v>188</v>
      </c>
      <c r="C34" s="23" t="s">
        <v>260</v>
      </c>
      <c r="D34" s="23" t="s">
        <v>261</v>
      </c>
      <c r="E34" s="24">
        <v>3</v>
      </c>
      <c r="F34" s="24">
        <v>5</v>
      </c>
      <c r="G34" s="25">
        <v>3</v>
      </c>
      <c r="H34" s="25">
        <v>5</v>
      </c>
      <c r="I34" s="26">
        <f>IF(AND(ISNUMBER(G34),ISNUMBER(H34)),G34*H34,"—")</f>
        <v>0</v>
      </c>
      <c r="J34" s="26">
        <f>IF(AND(ISNUMBER(I34),I34&gt;=15),"Kritiek",IF(AND(ISNUMBER(I34),I34&gt;=8),"Hoog",IF(AND(ISNUMBER(I34),I34&gt;=4),"Middel",IF(ISNUMBER(I34),"Laag","—"))))</f>
        <v>0</v>
      </c>
      <c r="K34" s="23" t="s">
        <v>262</v>
      </c>
      <c r="L34" s="23" t="s">
        <v>263</v>
      </c>
      <c r="M34" s="27" t="s">
        <v>70</v>
      </c>
      <c r="N34" s="28"/>
      <c r="O34" s="29" t="s">
        <v>71</v>
      </c>
      <c r="P34" s="29" t="s">
        <v>204</v>
      </c>
      <c r="Q34" s="27" t="s">
        <v>73</v>
      </c>
    </row>
    <row r="35" spans="1:17" ht="38" customHeight="1">
      <c r="A35" s="30" t="s">
        <v>74</v>
      </c>
      <c r="B35" s="31" t="s">
        <v>65</v>
      </c>
      <c r="C35" s="4" t="s">
        <v>264</v>
      </c>
      <c r="D35" s="4" t="s">
        <v>265</v>
      </c>
      <c r="E35" s="24">
        <v>5</v>
      </c>
      <c r="F35" s="24">
        <v>5</v>
      </c>
      <c r="G35" s="25">
        <v>5</v>
      </c>
      <c r="H35" s="25">
        <v>5</v>
      </c>
      <c r="I35" s="26">
        <f>IF(AND(ISNUMBER(G35),ISNUMBER(H35)),G35*H35,"—")</f>
        <v>0</v>
      </c>
      <c r="J35" s="26">
        <f>IF(AND(ISNUMBER(I35),I35&gt;=15),"Kritiek",IF(AND(ISNUMBER(I35),I35&gt;=8),"Hoog",IF(AND(ISNUMBER(I35),I35&gt;=4),"Middel",IF(ISNUMBER(I35),"Laag","—"))))</f>
        <v>0</v>
      </c>
      <c r="K35" s="4" t="s">
        <v>266</v>
      </c>
      <c r="L35" s="4" t="s">
        <v>267</v>
      </c>
      <c r="M35" s="32" t="s">
        <v>70</v>
      </c>
      <c r="N35" s="28"/>
      <c r="O35" s="33" t="s">
        <v>71</v>
      </c>
      <c r="P35" s="33" t="s">
        <v>268</v>
      </c>
      <c r="Q35" s="32" t="s">
        <v>73</v>
      </c>
    </row>
    <row r="36" spans="1:17" ht="38" customHeight="1">
      <c r="A36" s="21" t="s">
        <v>80</v>
      </c>
      <c r="B36" s="22" t="s">
        <v>188</v>
      </c>
      <c r="C36" s="23" t="s">
        <v>269</v>
      </c>
      <c r="D36" s="23" t="s">
        <v>270</v>
      </c>
      <c r="E36" s="24">
        <v>3</v>
      </c>
      <c r="F36" s="24">
        <v>4</v>
      </c>
      <c r="G36" s="25">
        <v>3</v>
      </c>
      <c r="H36" s="25">
        <v>4</v>
      </c>
      <c r="I36" s="26">
        <f>IF(AND(ISNUMBER(G36),ISNUMBER(H36)),G36*H36,"—")</f>
        <v>0</v>
      </c>
      <c r="J36" s="26">
        <f>IF(AND(ISNUMBER(I36),I36&gt;=15),"Kritiek",IF(AND(ISNUMBER(I36),I36&gt;=8),"Hoog",IF(AND(ISNUMBER(I36),I36&gt;=4),"Middel",IF(ISNUMBER(I36),"Laag","—"))))</f>
        <v>0</v>
      </c>
      <c r="K36" s="23" t="s">
        <v>271</v>
      </c>
      <c r="L36" s="23" t="s">
        <v>272</v>
      </c>
      <c r="M36" s="27" t="s">
        <v>70</v>
      </c>
      <c r="N36" s="28"/>
      <c r="O36" s="29" t="s">
        <v>71</v>
      </c>
      <c r="P36" s="29" t="s">
        <v>273</v>
      </c>
      <c r="Q36" s="27" t="s">
        <v>73</v>
      </c>
    </row>
    <row r="37" spans="1:17" ht="38" customHeight="1">
      <c r="A37" s="30" t="s">
        <v>87</v>
      </c>
      <c r="B37" s="31" t="s">
        <v>188</v>
      </c>
      <c r="C37" s="4" t="s">
        <v>274</v>
      </c>
      <c r="D37" s="4" t="s">
        <v>275</v>
      </c>
      <c r="E37" s="24">
        <v>3</v>
      </c>
      <c r="F37" s="24">
        <v>5</v>
      </c>
      <c r="G37" s="25">
        <v>3</v>
      </c>
      <c r="H37" s="25">
        <v>5</v>
      </c>
      <c r="I37" s="26">
        <f>IF(AND(ISNUMBER(G37),ISNUMBER(H37)),G37*H37,"—")</f>
        <v>0</v>
      </c>
      <c r="J37" s="26">
        <f>IF(AND(ISNUMBER(I37),I37&gt;=15),"Kritiek",IF(AND(ISNUMBER(I37),I37&gt;=8),"Hoog",IF(AND(ISNUMBER(I37),I37&gt;=4),"Middel",IF(ISNUMBER(I37),"Laag","—"))))</f>
        <v>0</v>
      </c>
      <c r="K37" s="4" t="s">
        <v>276</v>
      </c>
      <c r="L37" s="4" t="s">
        <v>277</v>
      </c>
      <c r="M37" s="32" t="s">
        <v>70</v>
      </c>
      <c r="N37" s="28"/>
      <c r="O37" s="33" t="s">
        <v>71</v>
      </c>
      <c r="P37" s="33" t="s">
        <v>278</v>
      </c>
      <c r="Q37" s="32" t="s">
        <v>73</v>
      </c>
    </row>
    <row r="38" spans="1:17" ht="38" customHeight="1">
      <c r="A38" s="21" t="s">
        <v>94</v>
      </c>
      <c r="B38" s="22" t="s">
        <v>188</v>
      </c>
      <c r="C38" s="23" t="s">
        <v>279</v>
      </c>
      <c r="D38" s="23" t="s">
        <v>280</v>
      </c>
      <c r="E38" s="24">
        <v>2</v>
      </c>
      <c r="F38" s="24">
        <v>5</v>
      </c>
      <c r="G38" s="25">
        <v>2</v>
      </c>
      <c r="H38" s="25">
        <v>5</v>
      </c>
      <c r="I38" s="26">
        <f>IF(AND(ISNUMBER(G38),ISNUMBER(H38)),G38*H38,"—")</f>
        <v>0</v>
      </c>
      <c r="J38" s="26">
        <f>IF(AND(ISNUMBER(I38),I38&gt;=15),"Kritiek",IF(AND(ISNUMBER(I38),I38&gt;=8),"Hoog",IF(AND(ISNUMBER(I38),I38&gt;=4),"Middel",IF(ISNUMBER(I38),"Laag","—"))))</f>
        <v>0</v>
      </c>
      <c r="K38" s="23" t="s">
        <v>281</v>
      </c>
      <c r="L38" s="23" t="s">
        <v>282</v>
      </c>
      <c r="M38" s="27" t="s">
        <v>70</v>
      </c>
      <c r="N38" s="28"/>
      <c r="O38" s="29" t="s">
        <v>71</v>
      </c>
      <c r="P38" s="29" t="s">
        <v>283</v>
      </c>
      <c r="Q38" s="27" t="s">
        <v>73</v>
      </c>
    </row>
    <row r="39" spans="1:17" ht="38" customHeight="1">
      <c r="A39" s="30" t="s">
        <v>102</v>
      </c>
      <c r="B39" s="31" t="s">
        <v>188</v>
      </c>
      <c r="C39" s="4" t="s">
        <v>284</v>
      </c>
      <c r="D39" s="4" t="s">
        <v>285</v>
      </c>
      <c r="E39" s="24">
        <v>2</v>
      </c>
      <c r="F39" s="24">
        <v>5</v>
      </c>
      <c r="G39" s="25">
        <v>2</v>
      </c>
      <c r="H39" s="25">
        <v>5</v>
      </c>
      <c r="I39" s="26">
        <f>IF(AND(ISNUMBER(G39),ISNUMBER(H39)),G39*H39,"—")</f>
        <v>0</v>
      </c>
      <c r="J39" s="26">
        <f>IF(AND(ISNUMBER(I39),I39&gt;=15),"Kritiek",IF(AND(ISNUMBER(I39),I39&gt;=8),"Hoog",IF(AND(ISNUMBER(I39),I39&gt;=4),"Middel",IF(ISNUMBER(I39),"Laag","—"))))</f>
        <v>0</v>
      </c>
      <c r="K39" s="4" t="s">
        <v>286</v>
      </c>
      <c r="L39" s="4" t="s">
        <v>287</v>
      </c>
      <c r="M39" s="32" t="s">
        <v>70</v>
      </c>
      <c r="N39" s="28"/>
      <c r="O39" s="33" t="s">
        <v>71</v>
      </c>
      <c r="P39" s="33" t="s">
        <v>273</v>
      </c>
      <c r="Q39" s="32" t="s">
        <v>73</v>
      </c>
    </row>
    <row r="40" spans="1:17" ht="38" customHeight="1">
      <c r="A40" s="21" t="s">
        <v>109</v>
      </c>
      <c r="B40" s="22" t="s">
        <v>153</v>
      </c>
      <c r="C40" s="23" t="s">
        <v>288</v>
      </c>
      <c r="D40" s="23" t="s">
        <v>289</v>
      </c>
      <c r="E40" s="24">
        <v>4</v>
      </c>
      <c r="F40" s="24">
        <v>5</v>
      </c>
      <c r="G40" s="25">
        <v>4</v>
      </c>
      <c r="H40" s="25">
        <v>5</v>
      </c>
      <c r="I40" s="26">
        <f>IF(AND(ISNUMBER(G40),ISNUMBER(H40)),G40*H40,"—")</f>
        <v>0</v>
      </c>
      <c r="J40" s="26">
        <f>IF(AND(ISNUMBER(I40),I40&gt;=15),"Kritiek",IF(AND(ISNUMBER(I40),I40&gt;=8),"Hoog",IF(AND(ISNUMBER(I40),I40&gt;=4),"Middel",IF(ISNUMBER(I40),"Laag","—"))))</f>
        <v>0</v>
      </c>
      <c r="K40" s="23" t="s">
        <v>290</v>
      </c>
      <c r="L40" s="23" t="s">
        <v>291</v>
      </c>
      <c r="M40" s="27" t="s">
        <v>70</v>
      </c>
      <c r="N40" s="28"/>
      <c r="O40" s="29" t="s">
        <v>292</v>
      </c>
      <c r="P40" s="29" t="s">
        <v>293</v>
      </c>
      <c r="Q40" s="27" t="s">
        <v>73</v>
      </c>
    </row>
    <row r="41" spans="1:17" ht="38" customHeight="1">
      <c r="A41" s="30" t="s">
        <v>117</v>
      </c>
      <c r="B41" s="31" t="s">
        <v>220</v>
      </c>
      <c r="C41" s="4" t="s">
        <v>294</v>
      </c>
      <c r="D41" s="4" t="s">
        <v>295</v>
      </c>
      <c r="E41" s="24">
        <v>4</v>
      </c>
      <c r="F41" s="24">
        <v>4</v>
      </c>
      <c r="G41" s="25">
        <v>4</v>
      </c>
      <c r="H41" s="25">
        <v>4</v>
      </c>
      <c r="I41" s="26">
        <f>IF(AND(ISNUMBER(G41),ISNUMBER(H41)),G41*H41,"—")</f>
        <v>0</v>
      </c>
      <c r="J41" s="26">
        <f>IF(AND(ISNUMBER(I41),I41&gt;=15),"Kritiek",IF(AND(ISNUMBER(I41),I41&gt;=8),"Hoog",IF(AND(ISNUMBER(I41),I41&gt;=4),"Middel",IF(ISNUMBER(I41),"Laag","—"))))</f>
        <v>0</v>
      </c>
      <c r="K41" s="4" t="s">
        <v>296</v>
      </c>
      <c r="L41" s="4" t="s">
        <v>297</v>
      </c>
      <c r="M41" s="32" t="s">
        <v>70</v>
      </c>
      <c r="N41" s="28"/>
      <c r="O41" s="33" t="s">
        <v>298</v>
      </c>
      <c r="P41" s="33" t="s">
        <v>299</v>
      </c>
      <c r="Q41" s="32" t="s">
        <v>73</v>
      </c>
    </row>
    <row r="42" spans="1:17" ht="38" customHeight="1">
      <c r="A42" s="21" t="s">
        <v>124</v>
      </c>
      <c r="B42" s="22" t="s">
        <v>153</v>
      </c>
      <c r="C42" s="23" t="s">
        <v>300</v>
      </c>
      <c r="D42" s="23" t="s">
        <v>301</v>
      </c>
      <c r="E42" s="24">
        <v>3</v>
      </c>
      <c r="F42" s="24">
        <v>4</v>
      </c>
      <c r="G42" s="25">
        <v>3</v>
      </c>
      <c r="H42" s="25">
        <v>4</v>
      </c>
      <c r="I42" s="26">
        <f>IF(AND(ISNUMBER(G42),ISNUMBER(H42)),G42*H42,"—")</f>
        <v>0</v>
      </c>
      <c r="J42" s="26">
        <f>IF(AND(ISNUMBER(I42),I42&gt;=15),"Kritiek",IF(AND(ISNUMBER(I42),I42&gt;=8),"Hoog",IF(AND(ISNUMBER(I42),I42&gt;=4),"Middel",IF(ISNUMBER(I42),"Laag","—"))))</f>
        <v>0</v>
      </c>
      <c r="K42" s="23" t="s">
        <v>302</v>
      </c>
      <c r="L42" s="23" t="s">
        <v>303</v>
      </c>
      <c r="M42" s="27" t="s">
        <v>70</v>
      </c>
      <c r="N42" s="28"/>
      <c r="O42" s="29" t="s">
        <v>71</v>
      </c>
      <c r="P42" s="29" t="s">
        <v>273</v>
      </c>
      <c r="Q42" s="27" t="s">
        <v>73</v>
      </c>
    </row>
    <row r="43" spans="1:17" ht="38" customHeight="1">
      <c r="A43" s="30" t="s">
        <v>130</v>
      </c>
      <c r="B43" s="31" t="s">
        <v>110</v>
      </c>
      <c r="C43" s="4" t="s">
        <v>304</v>
      </c>
      <c r="D43" s="4" t="s">
        <v>305</v>
      </c>
      <c r="E43" s="24">
        <v>3</v>
      </c>
      <c r="F43" s="24">
        <v>3</v>
      </c>
      <c r="G43" s="25">
        <v>3</v>
      </c>
      <c r="H43" s="25">
        <v>3</v>
      </c>
      <c r="I43" s="26">
        <f>IF(AND(ISNUMBER(G43),ISNUMBER(H43)),G43*H43,"—")</f>
        <v>0</v>
      </c>
      <c r="J43" s="26">
        <f>IF(AND(ISNUMBER(I43),I43&gt;=15),"Kritiek",IF(AND(ISNUMBER(I43),I43&gt;=8),"Hoog",IF(AND(ISNUMBER(I43),I43&gt;=4),"Middel",IF(ISNUMBER(I43),"Laag","—"))))</f>
        <v>0</v>
      </c>
      <c r="K43" s="4" t="s">
        <v>306</v>
      </c>
      <c r="L43" s="4" t="s">
        <v>307</v>
      </c>
      <c r="M43" s="32" t="s">
        <v>70</v>
      </c>
      <c r="N43" s="28"/>
      <c r="O43" s="33" t="s">
        <v>308</v>
      </c>
      <c r="P43" s="33" t="s">
        <v>309</v>
      </c>
      <c r="Q43" s="32" t="s">
        <v>73</v>
      </c>
    </row>
    <row r="45" spans="1:17">
      <c r="A45" s="8" t="s">
        <v>310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</sheetData>
  <sheetProtection sheet="1" objects="1" scenarios="1"/>
  <mergeCells count="7">
    <mergeCell ref="A1:J1"/>
    <mergeCell ref="K1:Q1"/>
    <mergeCell ref="B2:D2"/>
    <mergeCell ref="N2:Q2"/>
    <mergeCell ref="A3:Q3"/>
    <mergeCell ref="A33:Q33"/>
    <mergeCell ref="A45:Q45"/>
  </mergeCells>
  <conditionalFormatting sqref="I5:I43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dataValidations count="4">
    <dataValidation type="list" allowBlank="1" showInputMessage="1" showErrorMessage="1" sqref="M5:M43">
      <formula1>"Ja,Nee,Deels"</formula1>
    </dataValidation>
    <dataValidation type="list" allowBlank="1" showInputMessage="1" showErrorMessage="1" sqref="Q5:Q43">
      <formula1>"Nee,Ja"</formula1>
    </dataValidation>
    <dataValidation type="list" allowBlank="1" showInputMessage="1" showErrorMessage="1" sqref="G5:G43">
      <formula1>"1,2,3,4,5"</formula1>
    </dataValidation>
    <dataValidation type="list" allowBlank="1" showInputMessage="1" showErrorMessage="1" sqref="H5:H43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zoomScale="90" zoomScaleNormal="90" workbookViewId="0"/>
  </sheetViews>
  <sheetFormatPr defaultRowHeight="15"/>
  <cols>
    <col min="1" max="1" width="4.7109375" customWidth="1"/>
    <col min="2" max="2" width="28.7109375" customWidth="1"/>
    <col min="3" max="3" width="70.7109375" customWidth="1"/>
  </cols>
  <sheetData>
    <row r="1" spans="1:3" ht="48" customHeight="1">
      <c r="A1" s="9" t="s">
        <v>311</v>
      </c>
      <c r="B1" s="9"/>
      <c r="C1" s="9"/>
    </row>
    <row r="2" spans="1:3" ht="22" customHeight="1">
      <c r="C2" s="2" t="s">
        <v>312</v>
      </c>
    </row>
    <row r="5" spans="1:3" ht="28" customHeight="1">
      <c r="A5" s="3" t="s">
        <v>313</v>
      </c>
      <c r="B5" s="3"/>
      <c r="C5" s="3"/>
    </row>
    <row r="6" spans="1:3" ht="24" customHeight="1">
      <c r="A6" s="4"/>
      <c r="B6" s="5" t="s">
        <v>7</v>
      </c>
      <c r="C6" s="4" t="s">
        <v>314</v>
      </c>
    </row>
    <row r="7" spans="1:3" ht="24" customHeight="1">
      <c r="A7" s="6"/>
      <c r="B7" s="5" t="s">
        <v>315</v>
      </c>
      <c r="C7" s="6" t="s">
        <v>316</v>
      </c>
    </row>
    <row r="8" spans="1:3" ht="24" customHeight="1">
      <c r="A8" s="4"/>
      <c r="B8" s="5" t="s">
        <v>9</v>
      </c>
      <c r="C8" s="4" t="s">
        <v>317</v>
      </c>
    </row>
    <row r="9" spans="1:3" ht="24" customHeight="1">
      <c r="A9" s="6"/>
      <c r="B9" s="5" t="s">
        <v>318</v>
      </c>
      <c r="C9" s="6" t="s">
        <v>319</v>
      </c>
    </row>
    <row r="10" spans="1:3" ht="24" customHeight="1">
      <c r="A10" s="4"/>
      <c r="B10" s="5" t="s">
        <v>320</v>
      </c>
      <c r="C10" s="4" t="s">
        <v>321</v>
      </c>
    </row>
    <row r="12" spans="1:3" ht="28" customHeight="1">
      <c r="A12" s="3" t="s">
        <v>322</v>
      </c>
      <c r="B12" s="3"/>
      <c r="C12" s="3"/>
    </row>
    <row r="13" spans="1:3" ht="28" customHeight="1">
      <c r="A13" s="35"/>
      <c r="B13" s="5" t="s">
        <v>323</v>
      </c>
      <c r="C13" s="35" t="s">
        <v>324</v>
      </c>
    </row>
    <row r="14" spans="1:3" ht="28" customHeight="1">
      <c r="A14" s="4"/>
      <c r="B14" s="5" t="s">
        <v>325</v>
      </c>
      <c r="C14" s="4" t="s">
        <v>326</v>
      </c>
    </row>
    <row r="15" spans="1:3" ht="28" customHeight="1">
      <c r="A15" s="6"/>
      <c r="B15" s="5" t="s">
        <v>327</v>
      </c>
      <c r="C15" s="6" t="s">
        <v>328</v>
      </c>
    </row>
    <row r="16" spans="1:3" ht="28" customHeight="1">
      <c r="A16" s="4"/>
      <c r="B16" s="5" t="s">
        <v>329</v>
      </c>
      <c r="C16" s="4" t="s">
        <v>330</v>
      </c>
    </row>
    <row r="17" spans="1:3" ht="28" customHeight="1">
      <c r="A17" s="6"/>
      <c r="B17" s="5" t="s">
        <v>331</v>
      </c>
      <c r="C17" s="6" t="s">
        <v>332</v>
      </c>
    </row>
    <row r="19" spans="1:3" ht="28" customHeight="1">
      <c r="A19" s="3" t="s">
        <v>333</v>
      </c>
      <c r="B19" s="3"/>
      <c r="C19" s="3"/>
    </row>
    <row r="20" spans="1:3" ht="24" customHeight="1">
      <c r="A20" s="4"/>
      <c r="B20" s="5" t="s">
        <v>334</v>
      </c>
      <c r="C20" s="4" t="s">
        <v>335</v>
      </c>
    </row>
    <row r="21" spans="1:3" ht="24" customHeight="1">
      <c r="A21" s="6"/>
      <c r="B21" s="5" t="s">
        <v>336</v>
      </c>
      <c r="C21" s="6" t="s">
        <v>337</v>
      </c>
    </row>
    <row r="22" spans="1:3" ht="24" customHeight="1">
      <c r="A22" s="4"/>
      <c r="B22" s="5" t="s">
        <v>338</v>
      </c>
      <c r="C22" s="4" t="s">
        <v>339</v>
      </c>
    </row>
    <row r="23" spans="1:3" ht="24" customHeight="1">
      <c r="A23" s="6"/>
      <c r="B23" s="5" t="s">
        <v>340</v>
      </c>
      <c r="C23" s="6" t="s">
        <v>341</v>
      </c>
    </row>
    <row r="24" spans="1:3" ht="24" customHeight="1">
      <c r="A24" s="4"/>
      <c r="B24" s="5" t="s">
        <v>342</v>
      </c>
      <c r="C24" s="4" t="s">
        <v>343</v>
      </c>
    </row>
    <row r="25" spans="1:3" ht="24" customHeight="1">
      <c r="A25" s="6"/>
      <c r="B25" s="5" t="s">
        <v>344</v>
      </c>
      <c r="C25" s="6" t="s">
        <v>345</v>
      </c>
    </row>
    <row r="26" spans="1:3" ht="24" customHeight="1">
      <c r="A26" s="4"/>
      <c r="B26" s="5" t="s">
        <v>346</v>
      </c>
      <c r="C26" s="4" t="s">
        <v>347</v>
      </c>
    </row>
    <row r="29" spans="1:3">
      <c r="A29" s="8" t="s">
        <v>37</v>
      </c>
      <c r="B29" s="8"/>
      <c r="C29" s="8"/>
    </row>
  </sheetData>
  <sheetProtection sheet="1" objects="1" scenarios="1"/>
  <mergeCells count="5">
    <mergeCell ref="A1:C1"/>
    <mergeCell ref="A5:C5"/>
    <mergeCell ref="A12:C12"/>
    <mergeCell ref="A19:C19"/>
    <mergeCell ref="A29:C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zoomScale="85" zoomScaleNormal="85" workbookViewId="0"/>
  </sheetViews>
  <sheetFormatPr defaultRowHeight="15"/>
  <cols>
    <col min="1" max="1" width="12.7109375" customWidth="1"/>
    <col min="2" max="2" width="30.7109375" customWidth="1"/>
    <col min="3" max="3" width="14.7109375" customWidth="1"/>
    <col min="4" max="4" width="22.7109375" customWidth="1"/>
    <col min="5" max="5" width="18.7109375" customWidth="1"/>
    <col min="6" max="6" width="44.7109375" customWidth="1"/>
  </cols>
  <sheetData>
    <row r="1" spans="1:6" ht="48" customHeight="1">
      <c r="A1" s="9" t="s">
        <v>348</v>
      </c>
      <c r="B1" s="9"/>
      <c r="C1" s="9"/>
      <c r="D1" s="9"/>
      <c r="E1" s="9"/>
      <c r="F1" s="9"/>
    </row>
    <row r="2" spans="1:6" ht="22" customHeight="1">
      <c r="F2" s="2" t="s">
        <v>349</v>
      </c>
    </row>
    <row r="3" spans="1:6" ht="22" customHeight="1"/>
    <row r="4" spans="1:6" ht="36" customHeight="1">
      <c r="A4" s="36" t="s">
        <v>350</v>
      </c>
      <c r="B4" s="36" t="s">
        <v>351</v>
      </c>
      <c r="C4" s="36" t="s">
        <v>61</v>
      </c>
      <c r="D4" s="36" t="s">
        <v>352</v>
      </c>
      <c r="E4" s="36" t="s">
        <v>62</v>
      </c>
      <c r="F4" s="36" t="s">
        <v>353</v>
      </c>
    </row>
    <row r="5" spans="1:6" ht="38" customHeight="1">
      <c r="A5" s="37" t="s">
        <v>354</v>
      </c>
      <c r="B5" s="23" t="s">
        <v>355</v>
      </c>
      <c r="C5" s="38" t="s">
        <v>250</v>
      </c>
      <c r="D5" s="38" t="s">
        <v>356</v>
      </c>
      <c r="E5" s="38" t="s">
        <v>357</v>
      </c>
      <c r="F5" s="23" t="s">
        <v>358</v>
      </c>
    </row>
    <row r="6" spans="1:6" ht="38" customHeight="1">
      <c r="A6" s="39" t="s">
        <v>359</v>
      </c>
      <c r="B6" s="4" t="s">
        <v>360</v>
      </c>
      <c r="C6" s="40" t="s">
        <v>158</v>
      </c>
      <c r="D6" s="40" t="s">
        <v>361</v>
      </c>
      <c r="E6" s="40" t="s">
        <v>362</v>
      </c>
      <c r="F6" s="4" t="s">
        <v>363</v>
      </c>
    </row>
    <row r="7" spans="1:6" ht="38" customHeight="1">
      <c r="A7" s="37" t="s">
        <v>364</v>
      </c>
      <c r="B7" s="23" t="s">
        <v>365</v>
      </c>
      <c r="C7" s="38" t="s">
        <v>292</v>
      </c>
      <c r="D7" s="38" t="s">
        <v>366</v>
      </c>
      <c r="E7" s="38" t="s">
        <v>293</v>
      </c>
      <c r="F7" s="23" t="s">
        <v>367</v>
      </c>
    </row>
    <row r="8" spans="1:6" ht="38" customHeight="1">
      <c r="A8" s="39" t="s">
        <v>368</v>
      </c>
      <c r="B8" s="4" t="s">
        <v>369</v>
      </c>
      <c r="C8" s="40" t="s">
        <v>136</v>
      </c>
      <c r="D8" s="40" t="s">
        <v>370</v>
      </c>
      <c r="E8" s="40" t="s">
        <v>371</v>
      </c>
      <c r="F8" s="4" t="s">
        <v>372</v>
      </c>
    </row>
    <row r="9" spans="1:6" ht="38" customHeight="1">
      <c r="A9" s="37" t="s">
        <v>373</v>
      </c>
      <c r="B9" s="23" t="s">
        <v>374</v>
      </c>
      <c r="C9" s="38" t="s">
        <v>237</v>
      </c>
      <c r="D9" s="38" t="s">
        <v>375</v>
      </c>
      <c r="E9" s="38" t="s">
        <v>238</v>
      </c>
      <c r="F9" s="23" t="s">
        <v>376</v>
      </c>
    </row>
    <row r="10" spans="1:6" ht="38" customHeight="1">
      <c r="A10" s="39" t="s">
        <v>377</v>
      </c>
      <c r="B10" s="4" t="s">
        <v>378</v>
      </c>
      <c r="C10" s="40" t="s">
        <v>211</v>
      </c>
      <c r="D10" s="40" t="s">
        <v>379</v>
      </c>
      <c r="E10" s="40" t="s">
        <v>380</v>
      </c>
      <c r="F10" s="4" t="s">
        <v>381</v>
      </c>
    </row>
    <row r="11" spans="1:6" ht="38" customHeight="1">
      <c r="A11" s="37" t="s">
        <v>382</v>
      </c>
      <c r="B11" s="23" t="s">
        <v>383</v>
      </c>
      <c r="C11" s="38" t="s">
        <v>257</v>
      </c>
      <c r="D11" s="38" t="s">
        <v>384</v>
      </c>
      <c r="E11" s="38" t="s">
        <v>258</v>
      </c>
      <c r="F11" s="23" t="s">
        <v>385</v>
      </c>
    </row>
    <row r="12" spans="1:6" ht="38" customHeight="1">
      <c r="A12" s="39" t="s">
        <v>386</v>
      </c>
      <c r="B12" s="4" t="s">
        <v>387</v>
      </c>
      <c r="C12" s="40" t="s">
        <v>122</v>
      </c>
      <c r="D12" s="40" t="s">
        <v>388</v>
      </c>
      <c r="E12" s="40" t="s">
        <v>129</v>
      </c>
      <c r="F12" s="4" t="s">
        <v>389</v>
      </c>
    </row>
    <row r="14" spans="1:6">
      <c r="A14" s="8" t="s">
        <v>37</v>
      </c>
      <c r="B14" s="8"/>
      <c r="C14" s="8"/>
      <c r="D14" s="8"/>
      <c r="E14" s="8"/>
      <c r="F14" s="8"/>
    </row>
  </sheetData>
  <sheetProtection sheet="1" objects="1" scenarios="1"/>
  <mergeCells count="2">
    <mergeCell ref="A1:F1"/>
    <mergeCell ref="A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/>
  </sheetViews>
  <sheetFormatPr defaultRowHeight="15"/>
  <cols>
    <col min="1" max="1" width="4.7109375" customWidth="1"/>
    <col min="2" max="2" width="20.7109375" customWidth="1"/>
    <col min="3" max="3" width="30.7109375" customWidth="1"/>
    <col min="4" max="4" width="54.7109375" customWidth="1"/>
  </cols>
  <sheetData>
    <row r="1" spans="1:4" ht="44" customHeight="1">
      <c r="A1" s="9" t="s">
        <v>390</v>
      </c>
      <c r="B1" s="9"/>
      <c r="C1" s="9"/>
      <c r="D1" s="9"/>
    </row>
    <row r="2" spans="1:4" ht="22" customHeight="1">
      <c r="D2" s="2" t="s">
        <v>391</v>
      </c>
    </row>
    <row r="5" spans="1:4" ht="28" customHeight="1">
      <c r="A5" s="41" t="s">
        <v>392</v>
      </c>
      <c r="B5" s="41"/>
      <c r="C5" s="41"/>
      <c r="D5" s="41"/>
    </row>
    <row r="6" spans="1:4" ht="28" customHeight="1">
      <c r="A6" s="4"/>
      <c r="B6" s="5" t="s">
        <v>393</v>
      </c>
      <c r="C6" s="5" t="s">
        <v>394</v>
      </c>
      <c r="D6" s="4" t="s">
        <v>395</v>
      </c>
    </row>
    <row r="7" spans="1:4" ht="28" customHeight="1">
      <c r="A7" s="6"/>
      <c r="B7" s="5" t="s">
        <v>396</v>
      </c>
      <c r="C7" s="5" t="s">
        <v>397</v>
      </c>
      <c r="D7" s="6" t="s">
        <v>398</v>
      </c>
    </row>
    <row r="8" spans="1:4" ht="28" customHeight="1">
      <c r="A8" s="4"/>
      <c r="B8" s="5" t="s">
        <v>399</v>
      </c>
      <c r="C8" s="5" t="s">
        <v>400</v>
      </c>
      <c r="D8" s="4" t="s">
        <v>401</v>
      </c>
    </row>
    <row r="9" spans="1:4" ht="28" customHeight="1">
      <c r="A9" s="6"/>
      <c r="B9" s="5" t="s">
        <v>402</v>
      </c>
      <c r="C9" s="5" t="s">
        <v>403</v>
      </c>
      <c r="D9" s="6" t="s">
        <v>404</v>
      </c>
    </row>
    <row r="10" spans="1:4" ht="28" customHeight="1">
      <c r="A10" s="4"/>
      <c r="B10" s="5" t="s">
        <v>405</v>
      </c>
      <c r="C10" s="5" t="s">
        <v>406</v>
      </c>
      <c r="D10" s="4" t="s">
        <v>407</v>
      </c>
    </row>
    <row r="12" spans="1:4" ht="28" customHeight="1">
      <c r="A12" s="42" t="s">
        <v>408</v>
      </c>
      <c r="B12" s="42"/>
      <c r="C12" s="42"/>
      <c r="D12" s="42"/>
    </row>
    <row r="13" spans="1:4" ht="28" customHeight="1">
      <c r="A13" s="6"/>
      <c r="B13" s="43" t="s">
        <v>409</v>
      </c>
      <c r="C13" s="43" t="s">
        <v>410</v>
      </c>
      <c r="D13" s="6" t="s">
        <v>411</v>
      </c>
    </row>
    <row r="14" spans="1:4" ht="28" customHeight="1">
      <c r="A14" s="4"/>
      <c r="B14" s="43" t="s">
        <v>412</v>
      </c>
      <c r="C14" s="43" t="s">
        <v>413</v>
      </c>
      <c r="D14" s="4" t="s">
        <v>414</v>
      </c>
    </row>
    <row r="15" spans="1:4" ht="28" customHeight="1">
      <c r="A15" s="6"/>
      <c r="B15" s="43" t="s">
        <v>415</v>
      </c>
      <c r="C15" s="43" t="s">
        <v>416</v>
      </c>
      <c r="D15" s="6" t="s">
        <v>417</v>
      </c>
    </row>
    <row r="16" spans="1:4" ht="28" customHeight="1">
      <c r="A16" s="4"/>
      <c r="B16" s="43" t="s">
        <v>418</v>
      </c>
      <c r="C16" s="43" t="s">
        <v>419</v>
      </c>
      <c r="D16" s="4" t="s">
        <v>420</v>
      </c>
    </row>
    <row r="17" spans="1:4" ht="28" customHeight="1">
      <c r="A17" s="6"/>
      <c r="B17" s="43" t="s">
        <v>421</v>
      </c>
      <c r="C17" s="43" t="s">
        <v>422</v>
      </c>
      <c r="D17" s="6" t="s">
        <v>423</v>
      </c>
    </row>
    <row r="19" spans="1:4" ht="28" customHeight="1">
      <c r="A19" s="41" t="s">
        <v>424</v>
      </c>
      <c r="B19" s="41"/>
      <c r="C19" s="41"/>
      <c r="D19" s="41"/>
    </row>
    <row r="20" spans="1:4" ht="28" customHeight="1">
      <c r="A20" s="4"/>
      <c r="B20" s="5" t="s">
        <v>425</v>
      </c>
      <c r="C20" s="5" t="s">
        <v>426</v>
      </c>
      <c r="D20" s="4" t="s">
        <v>427</v>
      </c>
    </row>
    <row r="21" spans="1:4" ht="28" customHeight="1">
      <c r="A21" s="6"/>
      <c r="B21" s="5" t="s">
        <v>428</v>
      </c>
      <c r="C21" s="5" t="s">
        <v>429</v>
      </c>
      <c r="D21" s="6" t="s">
        <v>430</v>
      </c>
    </row>
    <row r="22" spans="1:4" ht="28" customHeight="1">
      <c r="A22" s="4"/>
      <c r="B22" s="5" t="s">
        <v>431</v>
      </c>
      <c r="C22" s="5" t="s">
        <v>432</v>
      </c>
      <c r="D22" s="4" t="s">
        <v>433</v>
      </c>
    </row>
    <row r="23" spans="1:4" ht="28" customHeight="1">
      <c r="A23" s="6"/>
      <c r="B23" s="5" t="s">
        <v>434</v>
      </c>
      <c r="C23" s="5" t="s">
        <v>435</v>
      </c>
      <c r="D23" s="6" t="s">
        <v>436</v>
      </c>
    </row>
    <row r="26" spans="1:4">
      <c r="A26" s="8" t="s">
        <v>437</v>
      </c>
      <c r="B26" s="8"/>
      <c r="C26" s="8"/>
      <c r="D26" s="8"/>
    </row>
  </sheetData>
  <sheetProtection sheet="1" objects="1" scenarios="1"/>
  <mergeCells count="5">
    <mergeCell ref="A1:D1"/>
    <mergeCell ref="A5:D5"/>
    <mergeCell ref="A12:D12"/>
    <mergeCell ref="A19:D19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Gebruikswijzer</vt:lpstr>
      <vt:lpstr>Gezondheidszorg</vt:lpstr>
      <vt:lpstr>Regulatoire_Context</vt:lpstr>
      <vt:lpstr>Controle_Mapping</vt:lpstr>
      <vt:lpstr>Scoringsgids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2026-06-08T14:23:00Z</dcterms:created>
  <dcterms:modified xsi:type="dcterms:W3CDTF">2026-06-08T14:23:00Z</dcterms:modified>
</cp:coreProperties>
</file>