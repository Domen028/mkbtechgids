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bruikswijzer" sheetId="1" r:id="rId1"/>
    <sheet name="1-Samenvatting" sheetId="2" r:id="rId2"/>
    <sheet name="2-Domeinstatus" sheetId="3" r:id="rId3"/>
    <sheet name="3-Top-risicos" sheetId="4" r:id="rId4"/>
    <sheet name="4-Incidenten" sheetId="5" r:id="rId5"/>
    <sheet name="5-Actieplan" sheetId="6" r:id="rId6"/>
    <sheet name="6-Investering" sheetId="7" r:id="rId7"/>
    <sheet name="Dashboard" sheetId="8" r:id="rId8"/>
  </sheets>
  <calcPr calcId="124519" fullCalcOnLoad="1"/>
</workbook>
</file>

<file path=xl/sharedStrings.xml><?xml version="1.0" encoding="utf-8"?>
<sst xmlns="http://schemas.openxmlformats.org/spreadsheetml/2006/main" count="197" uniqueCount="151">
  <si>
    <t>NIS2 BOARDRAPPORTAGE — Werkboek (sheet-per-slide)</t>
  </si>
  <si>
    <t>Vul dit werkboek → kopieer per tabblad → plak in de bijbehorende slide van de Boardrapportage (PPTX)</t>
  </si>
  <si>
    <t>ZO WERKT HET (in 5 stappen)</t>
  </si>
  <si>
    <t>Stap 1</t>
  </si>
  <si>
    <t>Dit werkboek is vooraf ingevuld met FICTIEVE voorbeeldcijfers (Voorbeeld B.V.). Vervang ze door uw eigen gegevens — de gele/lichtgele cellen zijn bewerkbaar.</t>
  </si>
  <si>
    <t>Stap 2</t>
  </si>
  <si>
    <t>Elk databtabblad komt overeen met één slide in de Boardrapportage (PPTX). Zie de mappingtabel hieronder.</t>
  </si>
  <si>
    <t>Stap 3</t>
  </si>
  <si>
    <t>Selecteer per tabblad het tabelbereik (Ctrl/Cmd+A in de tabel), kopieer (Ctrl/Cmd+C) en plak in de bijbehorende slide. Tip: "Plakken speciaal → afbeelding" houdt de opmaak strak.</t>
  </si>
  <si>
    <t>Stap 4</t>
  </si>
  <si>
    <t>Logo toevoegen: in PowerPoint vervangt u het grijze logovak op de titelslide (rechtsklik → Afbeelding wijzigen). In Excel: Invoegen → Afbeelding boven het logoveld op dit tabblad.</t>
  </si>
  <si>
    <t>Stap 5</t>
  </si>
  <si>
    <t>Pas in de PPTX de spreeknotities per slide aan (Beeld → Notities). Werk het Dashboard-tabblad niet bij: dat rekent automatisch.</t>
  </si>
  <si>
    <t>TABBLAD → SLIDE MAPPING</t>
  </si>
  <si>
    <t>1-Samenvatting</t>
  </si>
  <si>
    <t>Slide: Managementsamenvatting (KPI's + kernboodschappen + de "ask")</t>
  </si>
  <si>
    <t>2-Domeinstatus</t>
  </si>
  <si>
    <t>Slide: Compliance-status per NIS2-domein (M1–M8, heatmap)</t>
  </si>
  <si>
    <t>3-Top-risicos</t>
  </si>
  <si>
    <t>Slide: Top-risico's &amp; behandeling (uit het Risicoregister)</t>
  </si>
  <si>
    <t>4-Incidenten</t>
  </si>
  <si>
    <t>Slide: Incidenten &amp; meldplicht (Art. 23)</t>
  </si>
  <si>
    <t>5-Actieplan</t>
  </si>
  <si>
    <t>Slide: Actieplan komend kwartaal (incl. kosten)</t>
  </si>
  <si>
    <t>6-Investering</t>
  </si>
  <si>
    <t>Slide: Investering &amp; ROI (CFO-overzicht)</t>
  </si>
  <si>
    <t>Dashboard</t>
  </si>
  <si>
    <t>Slide: Volwassenheid &amp; trend (rekent automatisch — niet bewerken)</t>
  </si>
  <si>
    <t>UW LOGO (optioneel)</t>
  </si>
  <si>
    <t>⬚  Plaats hier uw logo  (Invoegen → Afbeelding)</t>
  </si>
  <si>
    <t>Disclaimer: zelfrapportage o.b.v. de NIS2 Compliance Toolkit (NIS2-richtlijn EU 2022/2555 / NL Cyberbeveiligingswet). Geen juridisch advies of onafhankelijke audit. Voorbeeldcijfers zijn fictief.</t>
  </si>
  <si>
    <t>MANAGEMENTSAMENVATTING</t>
  </si>
  <si>
    <t>Voorbeeld B.V. · Q2 2026</t>
  </si>
  <si>
    <t>KERN-KPI's (pas de waarden aan)</t>
  </si>
  <si>
    <t>NIS2-volwassenheid</t>
  </si>
  <si>
    <t>62%</t>
  </si>
  <si>
    <t>Open gaps — prioriteit Hoog</t>
  </si>
  <si>
    <t>4</t>
  </si>
  <si>
    <t>Significante incidenten (periode)</t>
  </si>
  <si>
    <t>[('Significante incidenten', '2', 'Amber'), ('Vroegtijdige waarschuwing &lt; 24u gehaald', '2 / 2', 'Groen'), ('Volledige melding &lt; 72u gehaald', '1 / 2', 'Amber'), ('Eindrapport &lt; 1 maand gehaald', '2 / 2', 'Groen'), ('Openstaande verbeterpunten uit incidenten', '3', 'Amber')]</t>
  </si>
  <si>
    <t>Volgende directiereview</t>
  </si>
  <si>
    <t>Q4 2026</t>
  </si>
  <si>
    <t>KERNBOODSCHAPPEN AAN HET BESTUUR</t>
  </si>
  <si>
    <t>Boodschap 1</t>
  </si>
  <si>
    <t>De cyberweerbaarheid is dit kwartaal gestegen van 48% naar 62%; MFA en back-up zijn uitgerold.</t>
  </si>
  <si>
    <t>Boodschap 2</t>
  </si>
  <si>
    <t>Grootste resterende risico is ransomware via phishing (R-01); behandeling loopt, afronding Q3.</t>
  </si>
  <si>
    <t>Boodschap 3</t>
  </si>
  <si>
    <t>Het bestuur wordt gevraagd €18.500 budget voor 2026 goed te keuren en restrisico R-04 te accepteren.</t>
  </si>
  <si>
    <t>MKBTechGids · NIS2 Boardrapportage Werkboek v1.0 · voorbeeld: fictieve cijfers (Voorbeeld B.V.) · KVK 27348456 · BTW NL004968309B61 · mkbtechgids.nl</t>
  </si>
  <si>
    <t>M1–M8</t>
  </si>
  <si>
    <t>Domein / Module</t>
  </si>
  <si>
    <t>Toelichting</t>
  </si>
  <si>
    <t>Status</t>
  </si>
  <si>
    <t>M1 · Scope &amp; zelfevaluatie</t>
  </si>
  <si>
    <t>Scope vastgesteld; belangrijke entiteit (transport).</t>
  </si>
  <si>
    <t>Groen</t>
  </si>
  <si>
    <t>M2 · Risicoanalyse + register</t>
  </si>
  <si>
    <t>Risicoregister actueel, 24 risico's gescoord.</t>
  </si>
  <si>
    <t>M3 · Beveiligingsmaatregelen</t>
  </si>
  <si>
    <t>MFA live; encryptie en segmentatie deels.</t>
  </si>
  <si>
    <t>Amber</t>
  </si>
  <si>
    <t>M4 · Leveranciersbeveiliging</t>
  </si>
  <si>
    <t>Top-10 leveranciers nog niet beoordeeld.</t>
  </si>
  <si>
    <t>M5 · Bedrijfscontinuïteit</t>
  </si>
  <si>
    <t>Back-up aanwezig; hersteltest nog niet maandelijks.</t>
  </si>
  <si>
    <t>M6 · Medewerkers &amp; training</t>
  </si>
  <si>
    <t>Jaarlijkse training + phishing-simulatie gedaan.</t>
  </si>
  <si>
    <t>M7 · Documentatie &amp; logging</t>
  </si>
  <si>
    <t>Compliancedossier onvolledig voor toezichthouder.</t>
  </si>
  <si>
    <t>Rood</t>
  </si>
  <si>
    <t>M8 · Jaarlijkse review</t>
  </si>
  <si>
    <t>Review gepland Q4; vorige review gedocumenteerd.</t>
  </si>
  <si>
    <t>TOP-RISICO'S &amp; BEHANDELING</t>
  </si>
  <si>
    <t>uit het Risicoregister</t>
  </si>
  <si>
    <t>Risico-ID</t>
  </si>
  <si>
    <t>Omschrijving</t>
  </si>
  <si>
    <t>W</t>
  </si>
  <si>
    <t>I</t>
  </si>
  <si>
    <t>Score (W×I)</t>
  </si>
  <si>
    <t>Behandeling / maatregel</t>
  </si>
  <si>
    <t>Eigenaar</t>
  </si>
  <si>
    <t>Streefdatum</t>
  </si>
  <si>
    <t>R-01</t>
  </si>
  <si>
    <t>Ransomware via phishing legt operatie plat</t>
  </si>
  <si>
    <t>MFA + EDR + geteste back-up; awareness</t>
  </si>
  <si>
    <t>CISO</t>
  </si>
  <si>
    <t>Q3 2026</t>
  </si>
  <si>
    <t>R-02</t>
  </si>
  <si>
    <t>Compromittering kritieke leverancier (supply chain)</t>
  </si>
  <si>
    <t>Leveranciersbeoordeling + contracteisen</t>
  </si>
  <si>
    <t>Inkoop</t>
  </si>
  <si>
    <t>R-03</t>
  </si>
  <si>
    <t>Uitval kritiek systeem zonder geteste back-up</t>
  </si>
  <si>
    <t>Maandelijkse hersteltest + noodstroom</t>
  </si>
  <si>
    <t>IT-beheer</t>
  </si>
  <si>
    <t>R-04</t>
  </si>
  <si>
    <t>Datalek persoonsgegevens via verkeerde toegang</t>
  </si>
  <si>
    <t>Access reviews + DLP; restrisico accepteren</t>
  </si>
  <si>
    <t>Art. 23</t>
  </si>
  <si>
    <t>Indicator</t>
  </si>
  <si>
    <t>Deze periode</t>
  </si>
  <si>
    <t>Significante incidenten</t>
  </si>
  <si>
    <t>2</t>
  </si>
  <si>
    <t>Vroegtijdige waarschuwing &lt; 24u gehaald</t>
  </si>
  <si>
    <t>2 / 2</t>
  </si>
  <si>
    <t>Volledige melding &lt; 72u gehaald</t>
  </si>
  <si>
    <t>1 / 2</t>
  </si>
  <si>
    <t>Eindrapport &lt; 1 maand gehaald</t>
  </si>
  <si>
    <t>Openstaande verbeterpunten uit incidenten</t>
  </si>
  <si>
    <t>3</t>
  </si>
  <si>
    <t>ACTIEPLAN KOMEND KWARTAAL</t>
  </si>
  <si>
    <t>incl. kosten</t>
  </si>
  <si>
    <t>Actie</t>
  </si>
  <si>
    <t>Kosten (ind.)</t>
  </si>
  <si>
    <t>MFA afdwingen op alle resterende systemen</t>
  </si>
  <si>
    <t>€1.500</t>
  </si>
  <si>
    <t>Maandelijkse back-up hersteltest invoeren</t>
  </si>
  <si>
    <t>€0</t>
  </si>
  <si>
    <t>Top-10 leveranciers beoordelen + contracteisen</t>
  </si>
  <si>
    <t>Compliancedossier M7 compleet maken</t>
  </si>
  <si>
    <t>INVESTERING &amp; ROI</t>
  </si>
  <si>
    <t>CFO-overzicht</t>
  </si>
  <si>
    <t>Investeringscategorie</t>
  </si>
  <si>
    <t>Indicatieve kosten</t>
  </si>
  <si>
    <t>Doorlooptijd</t>
  </si>
  <si>
    <t>Prioriteit</t>
  </si>
  <si>
    <t>Quick wins (MFA, patching, back-up, awareness)</t>
  </si>
  <si>
    <t>€0 – €2.000 / jaar</t>
  </si>
  <si>
    <t>dagen – weken</t>
  </si>
  <si>
    <t>Hoog</t>
  </si>
  <si>
    <t>Governance &amp; proces (beleid, IR-plan, reviews)</t>
  </si>
  <si>
    <t>€0 – €3.000 / jaar</t>
  </si>
  <si>
    <t>dagen</t>
  </si>
  <si>
    <t>Technische maatregelen (EDR, segmentatie, SIEM)</t>
  </si>
  <si>
    <t>€1.000 – €60.000 / jaar</t>
  </si>
  <si>
    <t>weken – maanden</t>
  </si>
  <si>
    <t>Middel</t>
  </si>
  <si>
    <t>Externe validatie (pentest, audit)</t>
  </si>
  <si>
    <t>€3.000 – €15.000 / jaar</t>
  </si>
  <si>
    <t>jaarlijks</t>
  </si>
  <si>
    <t>Geraamd totaalbudget 2026: €18.500   ·   Kostenanker: externe NIS2-quickscan €2.000–€5.000 eenmalig  ·  deze toolkit vanaf €49 (excl. btw).</t>
  </si>
  <si>
    <t>VOLWASSENHEID &amp; TREND (automatisch)</t>
  </si>
  <si>
    <t>rekent uit 2-Domeinstatus</t>
  </si>
  <si>
    <t>STATUSVERDELING (M1–M8)</t>
  </si>
  <si>
    <t>Domeinen op orde (Groen)</t>
  </si>
  <si>
    <t>Aandacht (Amber)</t>
  </si>
  <si>
    <t>Actie vereist (Rood)</t>
  </si>
  <si>
    <t>VOLWASSENHEID (indicatief)</t>
  </si>
  <si>
    <t>Domein-volwassenheid (%)</t>
  </si>
  <si>
    <t>Disclaimer: zelfbeoordeling, geen juridisch advies of onafhankelijke audit.</t>
  </si>
</sst>
</file>

<file path=xl/styles.xml><?xml version="1.0" encoding="utf-8"?>
<styleSheet xmlns="http://schemas.openxmlformats.org/spreadsheetml/2006/main">
  <numFmts count="1">
    <numFmt numFmtId="164" formatCode="0%"/>
  </numFmts>
  <fonts count="1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0"/>
      <color rgb="FF1C1C2E"/>
      <name val="Calibri"/>
      <family val="2"/>
      <scheme val="minor"/>
    </font>
    <font>
      <i/>
      <sz val="11"/>
      <color rgb="FF9CA3AF"/>
      <name val="Calibri"/>
      <family val="2"/>
      <scheme val="minor"/>
    </font>
    <font>
      <i/>
      <sz val="8"/>
      <color rgb="FF92400E"/>
      <name val="Calibri"/>
      <family val="2"/>
      <scheme val="minor"/>
    </font>
    <font>
      <b/>
      <sz val="11"/>
      <color rgb="FF1C1C2E"/>
      <name val="Calibri"/>
      <family val="2"/>
      <scheme val="minor"/>
    </font>
    <font>
      <b/>
      <sz val="14"/>
      <color rgb="FF1D4ED8"/>
      <name val="Calibri"/>
      <family val="2"/>
      <scheme val="minor"/>
    </font>
    <font>
      <sz val="11"/>
      <color rgb="FF374151"/>
      <name val="Calibri"/>
      <family val="2"/>
      <scheme val="minor"/>
    </font>
    <font>
      <i/>
      <sz val="8"/>
      <color rgb="FF9CA3A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74151"/>
      <name val="Calibri"/>
      <family val="2"/>
      <scheme val="minor"/>
    </font>
    <font>
      <sz val="11"/>
      <color rgb="FF1C1C2E"/>
      <name val="Calibri"/>
      <family val="2"/>
      <scheme val="minor"/>
    </font>
    <font>
      <b/>
      <sz val="12"/>
      <color rgb="FF374151"/>
      <name val="Calibri"/>
      <family val="2"/>
      <scheme val="minor"/>
    </font>
    <font>
      <b/>
      <sz val="20"/>
      <color rgb="FF15803D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C1C2E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EF5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7" fillId="6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9" fillId="7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left" vertical="top"/>
    </xf>
    <xf numFmtId="0" fontId="10" fillId="5" borderId="1" xfId="0" applyFont="1" applyFill="1" applyBorder="1" applyAlignment="1" applyProtection="1">
      <alignment horizontal="left" vertical="top" wrapText="1"/>
      <protection locked="0"/>
    </xf>
    <xf numFmtId="0" fontId="11" fillId="4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 applyProtection="1">
      <alignment horizontal="left" vertical="center"/>
      <protection locked="0"/>
    </xf>
    <xf numFmtId="0" fontId="10" fillId="5" borderId="1" xfId="0" applyFont="1" applyFill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8" fillId="5" borderId="1" xfId="0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4" fillId="7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 applyProtection="1">
      <alignment horizontal="left" vertical="center"/>
      <protection locked="0"/>
    </xf>
    <xf numFmtId="0" fontId="8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6" fillId="7" borderId="1" xfId="0" applyFont="1" applyFill="1" applyBorder="1" applyAlignment="1">
      <alignment horizontal="center" vertical="center"/>
    </xf>
    <xf numFmtId="164" fontId="17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15803D"/>
      </font>
      <fill>
        <patternFill>
          <bgColor rgb="FFDCFCE7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/>
        <color rgb="FF92400E"/>
      </font>
      <fill>
        <patternFill>
          <bgColor rgb="FFFFFBEB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/>
        <color rgb="FFDC2626"/>
      </font>
      <fill>
        <patternFill>
          <bgColor rgb="FFFEF2F2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3" width="70.7109375" customWidth="1"/>
  </cols>
  <sheetData>
    <row r="1" spans="1:3" ht="40" customHeight="1">
      <c r="A1" s="1" t="s">
        <v>0</v>
      </c>
      <c r="B1" s="1"/>
      <c r="C1" s="1"/>
    </row>
    <row r="2" spans="1:3" ht="18" customHeight="1">
      <c r="A2" s="2" t="s">
        <v>1</v>
      </c>
      <c r="B2" s="2"/>
      <c r="C2" s="2"/>
    </row>
    <row r="4" spans="1:3" ht="26" customHeight="1">
      <c r="A4" s="3" t="s">
        <v>2</v>
      </c>
      <c r="B4" s="3"/>
      <c r="C4" s="3"/>
    </row>
    <row r="5" spans="1:3" ht="34" customHeight="1">
      <c r="A5" s="4"/>
      <c r="B5" s="5" t="s">
        <v>3</v>
      </c>
      <c r="C5" s="4" t="s">
        <v>4</v>
      </c>
    </row>
    <row r="6" spans="1:3" ht="34" customHeight="1">
      <c r="A6" s="6"/>
      <c r="B6" s="5" t="s">
        <v>5</v>
      </c>
      <c r="C6" s="6" t="s">
        <v>6</v>
      </c>
    </row>
    <row r="7" spans="1:3" ht="34" customHeight="1">
      <c r="A7" s="4"/>
      <c r="B7" s="5" t="s">
        <v>7</v>
      </c>
      <c r="C7" s="4" t="s">
        <v>8</v>
      </c>
    </row>
    <row r="8" spans="1:3" ht="34" customHeight="1">
      <c r="A8" s="6"/>
      <c r="B8" s="5" t="s">
        <v>9</v>
      </c>
      <c r="C8" s="6" t="s">
        <v>10</v>
      </c>
    </row>
    <row r="9" spans="1:3" ht="34" customHeight="1">
      <c r="A9" s="4"/>
      <c r="B9" s="5" t="s">
        <v>11</v>
      </c>
      <c r="C9" s="4" t="s">
        <v>12</v>
      </c>
    </row>
    <row r="11" spans="1:3" ht="26" customHeight="1">
      <c r="A11" s="3" t="s">
        <v>13</v>
      </c>
      <c r="B11" s="3"/>
      <c r="C11" s="3"/>
    </row>
    <row r="12" spans="1:3" ht="22" customHeight="1">
      <c r="A12" s="6"/>
      <c r="B12" s="5" t="s">
        <v>14</v>
      </c>
      <c r="C12" s="6" t="s">
        <v>15</v>
      </c>
    </row>
    <row r="13" spans="1:3" ht="22" customHeight="1">
      <c r="A13" s="4"/>
      <c r="B13" s="5" t="s">
        <v>16</v>
      </c>
      <c r="C13" s="4" t="s">
        <v>17</v>
      </c>
    </row>
    <row r="14" spans="1:3" ht="22" customHeight="1">
      <c r="A14" s="6"/>
      <c r="B14" s="5" t="s">
        <v>18</v>
      </c>
      <c r="C14" s="6" t="s">
        <v>19</v>
      </c>
    </row>
    <row r="15" spans="1:3" ht="22" customHeight="1">
      <c r="A15" s="4"/>
      <c r="B15" s="5" t="s">
        <v>20</v>
      </c>
      <c r="C15" s="4" t="s">
        <v>21</v>
      </c>
    </row>
    <row r="16" spans="1:3" ht="22" customHeight="1">
      <c r="A16" s="6"/>
      <c r="B16" s="5" t="s">
        <v>22</v>
      </c>
      <c r="C16" s="6" t="s">
        <v>23</v>
      </c>
    </row>
    <row r="17" spans="1:3" ht="22" customHeight="1">
      <c r="A17" s="4"/>
      <c r="B17" s="5" t="s">
        <v>24</v>
      </c>
      <c r="C17" s="4" t="s">
        <v>25</v>
      </c>
    </row>
    <row r="18" spans="1:3" ht="22" customHeight="1">
      <c r="A18" s="6"/>
      <c r="B18" s="5" t="s">
        <v>26</v>
      </c>
      <c r="C18" s="6" t="s">
        <v>27</v>
      </c>
    </row>
    <row r="20" spans="1:3" ht="26" customHeight="1">
      <c r="A20" s="3" t="s">
        <v>28</v>
      </c>
      <c r="B20" s="3"/>
      <c r="C20" s="3"/>
    </row>
    <row r="21" spans="1:3" ht="60" customHeight="1">
      <c r="B21" s="7" t="s">
        <v>29</v>
      </c>
      <c r="C21" s="7"/>
    </row>
    <row r="23" spans="1:3" ht="30" customHeight="1">
      <c r="A23" s="8" t="s">
        <v>30</v>
      </c>
      <c r="B23" s="8"/>
      <c r="C23" s="8"/>
    </row>
  </sheetData>
  <sheetProtection sheet="1" objects="1" scenarios="1"/>
  <mergeCells count="7">
    <mergeCell ref="A1:C1"/>
    <mergeCell ref="A2:C2"/>
    <mergeCell ref="A4:C4"/>
    <mergeCell ref="A11:C11"/>
    <mergeCell ref="A20:C20"/>
    <mergeCell ref="B21:C21"/>
    <mergeCell ref="A23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.7109375" customWidth="1"/>
    <col min="2" max="2" width="34.7109375" customWidth="1"/>
    <col min="3" max="3" width="20.7109375" customWidth="1"/>
    <col min="4" max="4" width="44.7109375" customWidth="1"/>
  </cols>
  <sheetData>
    <row r="1" spans="1:4" ht="40" customHeight="1">
      <c r="A1" s="1" t="s">
        <v>31</v>
      </c>
      <c r="B1" s="1"/>
      <c r="C1" s="2" t="s">
        <v>32</v>
      </c>
      <c r="D1" s="2"/>
    </row>
    <row r="2" spans="1:4" ht="18" customHeight="1"/>
    <row r="3" spans="1:4" ht="6" customHeight="1"/>
    <row r="4" spans="1:4" ht="24" customHeight="1">
      <c r="B4" s="3" t="s">
        <v>33</v>
      </c>
      <c r="C4" s="3"/>
      <c r="D4" s="3"/>
    </row>
    <row r="5" spans="1:4" ht="26" customHeight="1">
      <c r="B5" s="9" t="s">
        <v>34</v>
      </c>
      <c r="C5" s="10" t="s">
        <v>35</v>
      </c>
    </row>
    <row r="6" spans="1:4" ht="26" customHeight="1">
      <c r="B6" s="9" t="s">
        <v>36</v>
      </c>
      <c r="C6" s="10" t="s">
        <v>37</v>
      </c>
    </row>
    <row r="7" spans="1:4" ht="26" customHeight="1">
      <c r="B7" s="9" t="s">
        <v>38</v>
      </c>
      <c r="C7" s="10" t="s">
        <v>39</v>
      </c>
    </row>
    <row r="8" spans="1:4" ht="26" customHeight="1">
      <c r="B8" s="9" t="s">
        <v>40</v>
      </c>
      <c r="C8" s="10" t="s">
        <v>41</v>
      </c>
    </row>
    <row r="10" spans="1:4" ht="24" customHeight="1">
      <c r="B10" s="3" t="s">
        <v>42</v>
      </c>
      <c r="C10" s="3"/>
      <c r="D10" s="3"/>
    </row>
    <row r="11" spans="1:4" ht="40" customHeight="1">
      <c r="B11" s="11" t="s">
        <v>43</v>
      </c>
      <c r="C11" s="12" t="s">
        <v>44</v>
      </c>
      <c r="D11" s="12"/>
    </row>
    <row r="12" spans="1:4" ht="40" customHeight="1">
      <c r="B12" s="11" t="s">
        <v>45</v>
      </c>
      <c r="C12" s="12" t="s">
        <v>46</v>
      </c>
      <c r="D12" s="12"/>
    </row>
    <row r="13" spans="1:4" ht="40" customHeight="1">
      <c r="B13" s="11" t="s">
        <v>47</v>
      </c>
      <c r="C13" s="12" t="s">
        <v>48</v>
      </c>
      <c r="D13" s="12"/>
    </row>
    <row r="15" spans="1:4" ht="16" customHeight="1">
      <c r="A15" s="13" t="s">
        <v>49</v>
      </c>
      <c r="B15" s="13"/>
      <c r="C15" s="13"/>
      <c r="D15" s="13"/>
    </row>
  </sheetData>
  <sheetProtection sheet="1" objects="1" scenarios="1"/>
  <mergeCells count="8">
    <mergeCell ref="A1:B1"/>
    <mergeCell ref="C1:D1"/>
    <mergeCell ref="B4:D4"/>
    <mergeCell ref="B10:D10"/>
    <mergeCell ref="C11:D11"/>
    <mergeCell ref="C12:D12"/>
    <mergeCell ref="C13:D13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30.7109375" customWidth="1"/>
    <col min="2" max="2" width="58.7109375" customWidth="1"/>
    <col min="3" max="3" width="12.7109375" customWidth="1"/>
  </cols>
  <sheetData>
    <row r="1" spans="1:3" ht="40" customHeight="1">
      <c r="B1" s="2" t="s">
        <v>50</v>
      </c>
      <c r="C1" s="2"/>
    </row>
    <row r="2" spans="1:3" ht="18" customHeight="1"/>
    <row r="3" spans="1:3" ht="6" customHeight="1"/>
    <row r="4" spans="1:3">
      <c r="A4" s="14" t="s">
        <v>51</v>
      </c>
      <c r="B4" s="14" t="s">
        <v>52</v>
      </c>
      <c r="C4" s="14" t="s">
        <v>53</v>
      </c>
    </row>
    <row r="5" spans="1:3" ht="30" customHeight="1">
      <c r="A5" s="15" t="s">
        <v>54</v>
      </c>
      <c r="B5" s="16" t="s">
        <v>55</v>
      </c>
      <c r="C5" s="17" t="s">
        <v>56</v>
      </c>
    </row>
    <row r="6" spans="1:3" ht="30" customHeight="1">
      <c r="A6" s="15" t="s">
        <v>57</v>
      </c>
      <c r="B6" s="16" t="s">
        <v>58</v>
      </c>
      <c r="C6" s="17" t="s">
        <v>56</v>
      </c>
    </row>
    <row r="7" spans="1:3" ht="30" customHeight="1">
      <c r="A7" s="15" t="s">
        <v>59</v>
      </c>
      <c r="B7" s="16" t="s">
        <v>60</v>
      </c>
      <c r="C7" s="17" t="s">
        <v>61</v>
      </c>
    </row>
    <row r="8" spans="1:3" ht="30" customHeight="1">
      <c r="A8" s="15" t="s">
        <v>62</v>
      </c>
      <c r="B8" s="16" t="s">
        <v>63</v>
      </c>
      <c r="C8" s="17" t="s">
        <v>61</v>
      </c>
    </row>
    <row r="9" spans="1:3" ht="30" customHeight="1">
      <c r="A9" s="15" t="s">
        <v>64</v>
      </c>
      <c r="B9" s="16" t="s">
        <v>65</v>
      </c>
      <c r="C9" s="17" t="s">
        <v>61</v>
      </c>
    </row>
    <row r="10" spans="1:3" ht="30" customHeight="1">
      <c r="A10" s="15" t="s">
        <v>66</v>
      </c>
      <c r="B10" s="16" t="s">
        <v>67</v>
      </c>
      <c r="C10" s="17" t="s">
        <v>56</v>
      </c>
    </row>
    <row r="11" spans="1:3" ht="30" customHeight="1">
      <c r="A11" s="15" t="s">
        <v>68</v>
      </c>
      <c r="B11" s="16" t="s">
        <v>69</v>
      </c>
      <c r="C11" s="17" t="s">
        <v>70</v>
      </c>
    </row>
    <row r="12" spans="1:3" ht="30" customHeight="1">
      <c r="A12" s="15" t="s">
        <v>71</v>
      </c>
      <c r="B12" s="16" t="s">
        <v>72</v>
      </c>
      <c r="C12" s="17" t="s">
        <v>61</v>
      </c>
    </row>
    <row r="14" spans="1:3" ht="16" customHeight="1">
      <c r="A14" s="13" t="s">
        <v>49</v>
      </c>
      <c r="B14" s="13"/>
      <c r="C14" s="13"/>
    </row>
  </sheetData>
  <sheetProtection sheet="1" objects="1" scenarios="1"/>
  <mergeCells count="2">
    <mergeCell ref="B1:C1"/>
    <mergeCell ref="A14:C14"/>
  </mergeCells>
  <conditionalFormatting sqref="C5:C12">
    <cfRule type="cellIs" dxfId="0" priority="1" operator="equal">
      <formula>"Groen"</formula>
    </cfRule>
    <cfRule type="cellIs" dxfId="1" priority="2" operator="equal">
      <formula>"Amber"</formula>
    </cfRule>
    <cfRule type="cellIs" dxfId="2" priority="3" operator="equal">
      <formula>"Rood"</formula>
    </cfRule>
  </conditionalFormatting>
  <dataValidations count="8">
    <dataValidation type="list" allowBlank="1" showInputMessage="1" showErrorMessage="1" sqref="C5">
      <formula1>"Groen,Amber,Rood"</formula1>
    </dataValidation>
    <dataValidation type="list" allowBlank="1" showInputMessage="1" showErrorMessage="1" sqref="C6">
      <formula1>"Groen,Amber,Rood"</formula1>
    </dataValidation>
    <dataValidation type="list" allowBlank="1" showInputMessage="1" showErrorMessage="1" sqref="C7">
      <formula1>"Groen,Amber,Rood"</formula1>
    </dataValidation>
    <dataValidation type="list" allowBlank="1" showInputMessage="1" showErrorMessage="1" sqref="C8">
      <formula1>"Groen,Amber,Rood"</formula1>
    </dataValidation>
    <dataValidation type="list" allowBlank="1" showInputMessage="1" showErrorMessage="1" sqref="C9">
      <formula1>"Groen,Amber,Rood"</formula1>
    </dataValidation>
    <dataValidation type="list" allowBlank="1" showInputMessage="1" showErrorMessage="1" sqref="C10">
      <formula1>"Groen,Amber,Rood"</formula1>
    </dataValidation>
    <dataValidation type="list" allowBlank="1" showInputMessage="1" showErrorMessage="1" sqref="C11">
      <formula1>"Groen,Amber,Rood"</formula1>
    </dataValidation>
    <dataValidation type="list" allowBlank="1" showInputMessage="1" showErrorMessage="1" sqref="C12">
      <formula1>"Groen,Amber,Rood"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zoomScale="90" zoomScaleNormal="90" workbookViewId="0"/>
  </sheetViews>
  <sheetFormatPr defaultRowHeight="15"/>
  <cols>
    <col min="1" max="1" width="8.7109375" customWidth="1"/>
    <col min="2" max="2" width="36.7109375" customWidth="1"/>
    <col min="3" max="4" width="5.7109375" customWidth="1"/>
    <col min="5" max="5" width="8.7109375" customWidth="1"/>
    <col min="6" max="6" width="34.7109375" customWidth="1"/>
    <col min="7" max="7" width="14.7109375" customWidth="1"/>
    <col min="8" max="8" width="12.7109375" customWidth="1"/>
    <col min="9" max="9" width="10.7109375" customWidth="1"/>
  </cols>
  <sheetData>
    <row r="1" spans="1:9" ht="40" customHeight="1">
      <c r="A1" s="1" t="s">
        <v>73</v>
      </c>
      <c r="B1" s="1"/>
      <c r="C1" s="1"/>
      <c r="D1" s="1"/>
      <c r="E1" s="1"/>
      <c r="F1" s="1"/>
      <c r="G1" s="1"/>
      <c r="H1" s="2" t="s">
        <v>74</v>
      </c>
      <c r="I1" s="2"/>
    </row>
    <row r="2" spans="1:9" ht="18" customHeight="1"/>
    <row r="3" spans="1:9" ht="6" customHeight="1"/>
    <row r="4" spans="1:9">
      <c r="A4" s="14" t="s">
        <v>75</v>
      </c>
      <c r="B4" s="14" t="s">
        <v>76</v>
      </c>
      <c r="C4" s="14" t="s">
        <v>77</v>
      </c>
      <c r="D4" s="14" t="s">
        <v>78</v>
      </c>
      <c r="E4" s="14" t="s">
        <v>79</v>
      </c>
      <c r="F4" s="14" t="s">
        <v>80</v>
      </c>
      <c r="G4" s="14" t="s">
        <v>81</v>
      </c>
      <c r="H4" s="14" t="s">
        <v>82</v>
      </c>
      <c r="I4" s="14" t="s">
        <v>53</v>
      </c>
    </row>
    <row r="5" spans="1:9" ht="34" customHeight="1">
      <c r="A5" s="18" t="s">
        <v>83</v>
      </c>
      <c r="B5" s="16" t="s">
        <v>84</v>
      </c>
      <c r="C5" s="19">
        <v>4</v>
      </c>
      <c r="D5" s="19">
        <v>5</v>
      </c>
      <c r="E5" s="20">
        <f>IFERROR(C5*D5,"")</f>
        <v>0</v>
      </c>
      <c r="F5" s="16" t="s">
        <v>85</v>
      </c>
      <c r="G5" s="19" t="s">
        <v>86</v>
      </c>
      <c r="H5" s="19" t="s">
        <v>87</v>
      </c>
      <c r="I5" s="17" t="s">
        <v>70</v>
      </c>
    </row>
    <row r="6" spans="1:9" ht="34" customHeight="1">
      <c r="A6" s="18" t="s">
        <v>88</v>
      </c>
      <c r="B6" s="16" t="s">
        <v>89</v>
      </c>
      <c r="C6" s="19">
        <v>3</v>
      </c>
      <c r="D6" s="19">
        <v>5</v>
      </c>
      <c r="E6" s="20">
        <f>IFERROR(C6*D6,"")</f>
        <v>0</v>
      </c>
      <c r="F6" s="16" t="s">
        <v>90</v>
      </c>
      <c r="G6" s="19" t="s">
        <v>91</v>
      </c>
      <c r="H6" s="19" t="s">
        <v>41</v>
      </c>
      <c r="I6" s="17" t="s">
        <v>61</v>
      </c>
    </row>
    <row r="7" spans="1:9" ht="34" customHeight="1">
      <c r="A7" s="18" t="s">
        <v>92</v>
      </c>
      <c r="B7" s="16" t="s">
        <v>93</v>
      </c>
      <c r="C7" s="19">
        <v>3</v>
      </c>
      <c r="D7" s="19">
        <v>4</v>
      </c>
      <c r="E7" s="20">
        <f>IFERROR(C7*D7,"")</f>
        <v>0</v>
      </c>
      <c r="F7" s="16" t="s">
        <v>94</v>
      </c>
      <c r="G7" s="19" t="s">
        <v>95</v>
      </c>
      <c r="H7" s="19" t="s">
        <v>87</v>
      </c>
      <c r="I7" s="17" t="s">
        <v>61</v>
      </c>
    </row>
    <row r="8" spans="1:9" ht="34" customHeight="1">
      <c r="A8" s="18" t="s">
        <v>96</v>
      </c>
      <c r="B8" s="16" t="s">
        <v>97</v>
      </c>
      <c r="C8" s="19">
        <v>2</v>
      </c>
      <c r="D8" s="19">
        <v>4</v>
      </c>
      <c r="E8" s="20">
        <f>IFERROR(C8*D8,"")</f>
        <v>0</v>
      </c>
      <c r="F8" s="16" t="s">
        <v>98</v>
      </c>
      <c r="G8" s="19" t="s">
        <v>86</v>
      </c>
      <c r="H8" s="19" t="s">
        <v>41</v>
      </c>
      <c r="I8" s="17" t="s">
        <v>56</v>
      </c>
    </row>
    <row r="10" spans="1:9" ht="16" customHeight="1">
      <c r="A10" s="13" t="s">
        <v>49</v>
      </c>
      <c r="B10" s="13"/>
      <c r="C10" s="13"/>
      <c r="D10" s="13"/>
      <c r="E10" s="13"/>
      <c r="F10" s="13"/>
      <c r="G10" s="13"/>
      <c r="H10" s="13"/>
      <c r="I10" s="13"/>
    </row>
  </sheetData>
  <sheetProtection sheet="1" objects="1" scenarios="1"/>
  <mergeCells count="3">
    <mergeCell ref="A1:G1"/>
    <mergeCell ref="H1:I1"/>
    <mergeCell ref="A10:I10"/>
  </mergeCells>
  <conditionalFormatting sqref="I5:I8">
    <cfRule type="cellIs" dxfId="0" priority="1" operator="equal">
      <formula>"Groen"</formula>
    </cfRule>
    <cfRule type="cellIs" dxfId="1" priority="2" operator="equal">
      <formula>"Amber"</formula>
    </cfRule>
    <cfRule type="cellIs" dxfId="2" priority="3" operator="equal">
      <formula>"Rood"</formula>
    </cfRule>
  </conditionalFormatting>
  <dataValidations count="12">
    <dataValidation type="whole" allowBlank="1" showInputMessage="1" showErrorMessage="1" sqref="C5">
      <formula1>1</formula1>
      <formula2>5</formula2>
    </dataValidation>
    <dataValidation type="whole" allowBlank="1" showInputMessage="1" showErrorMessage="1" sqref="D5">
      <formula1>1</formula1>
      <formula2>5</formula2>
    </dataValidation>
    <dataValidation type="list" allowBlank="1" showInputMessage="1" showErrorMessage="1" sqref="I5">
      <formula1>"Groen,Amber,Rood"</formula1>
    </dataValidation>
    <dataValidation type="whole" allowBlank="1" showInputMessage="1" showErrorMessage="1" sqref="C6">
      <formula1>1</formula1>
      <formula2>5</formula2>
    </dataValidation>
    <dataValidation type="whole" allowBlank="1" showInputMessage="1" showErrorMessage="1" sqref="D6">
      <formula1>1</formula1>
      <formula2>5</formula2>
    </dataValidation>
    <dataValidation type="list" allowBlank="1" showInputMessage="1" showErrorMessage="1" sqref="I6">
      <formula1>"Groen,Amber,Rood"</formula1>
    </dataValidation>
    <dataValidation type="whole" allowBlank="1" showInputMessage="1" showErrorMessage="1" sqref="C7">
      <formula1>1</formula1>
      <formula2>5</formula2>
    </dataValidation>
    <dataValidation type="whole" allowBlank="1" showInputMessage="1" showErrorMessage="1" sqref="D7">
      <formula1>1</formula1>
      <formula2>5</formula2>
    </dataValidation>
    <dataValidation type="list" allowBlank="1" showInputMessage="1" showErrorMessage="1" sqref="I7">
      <formula1>"Groen,Amber,Rood"</formula1>
    </dataValidation>
    <dataValidation type="whole" allowBlank="1" showInputMessage="1" showErrorMessage="1" sqref="C8">
      <formula1>1</formula1>
      <formula2>5</formula2>
    </dataValidation>
    <dataValidation type="whole" allowBlank="1" showInputMessage="1" showErrorMessage="1" sqref="D8">
      <formula1>1</formula1>
      <formula2>5</formula2>
    </dataValidation>
    <dataValidation type="list" allowBlank="1" showInputMessage="1" showErrorMessage="1" sqref="I8">
      <formula1>"Groen,Amber,Rood"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50.7109375" customWidth="1"/>
    <col min="2" max="2" width="18.7109375" customWidth="1"/>
    <col min="3" max="3" width="12.7109375" customWidth="1"/>
  </cols>
  <sheetData>
    <row r="1" spans="1:3" ht="40" customHeight="1">
      <c r="B1" s="2" t="s">
        <v>99</v>
      </c>
      <c r="C1" s="2"/>
    </row>
    <row r="2" spans="1:3" ht="18" customHeight="1"/>
    <row r="3" spans="1:3" ht="6" customHeight="1"/>
    <row r="4" spans="1:3">
      <c r="A4" s="14" t="s">
        <v>100</v>
      </c>
      <c r="B4" s="14" t="s">
        <v>101</v>
      </c>
      <c r="C4" s="14" t="s">
        <v>53</v>
      </c>
    </row>
    <row r="5" spans="1:3" ht="26" customHeight="1">
      <c r="A5" s="21" t="s">
        <v>102</v>
      </c>
      <c r="B5" s="19" t="s">
        <v>103</v>
      </c>
      <c r="C5" s="17" t="s">
        <v>61</v>
      </c>
    </row>
    <row r="6" spans="1:3" ht="26" customHeight="1">
      <c r="A6" s="21" t="s">
        <v>104</v>
      </c>
      <c r="B6" s="19" t="s">
        <v>105</v>
      </c>
      <c r="C6" s="17" t="s">
        <v>56</v>
      </c>
    </row>
    <row r="7" spans="1:3" ht="26" customHeight="1">
      <c r="A7" s="21" t="s">
        <v>106</v>
      </c>
      <c r="B7" s="19" t="s">
        <v>107</v>
      </c>
      <c r="C7" s="17" t="s">
        <v>61</v>
      </c>
    </row>
    <row r="8" spans="1:3" ht="26" customHeight="1">
      <c r="A8" s="21" t="s">
        <v>108</v>
      </c>
      <c r="B8" s="19" t="s">
        <v>105</v>
      </c>
      <c r="C8" s="17" t="s">
        <v>56</v>
      </c>
    </row>
    <row r="9" spans="1:3" ht="26" customHeight="1">
      <c r="A9" s="21" t="s">
        <v>109</v>
      </c>
      <c r="B9" s="19" t="s">
        <v>110</v>
      </c>
      <c r="C9" s="17" t="s">
        <v>61</v>
      </c>
    </row>
    <row r="11" spans="1:3" ht="16" customHeight="1">
      <c r="A11" s="13" t="s">
        <v>49</v>
      </c>
      <c r="B11" s="13"/>
      <c r="C11" s="13"/>
    </row>
  </sheetData>
  <sheetProtection sheet="1" objects="1" scenarios="1"/>
  <mergeCells count="2">
    <mergeCell ref="B1:C1"/>
    <mergeCell ref="A11:C11"/>
  </mergeCells>
  <conditionalFormatting sqref="C5:C9">
    <cfRule type="cellIs" dxfId="0" priority="1" operator="equal">
      <formula>"Groen"</formula>
    </cfRule>
    <cfRule type="cellIs" dxfId="1" priority="2" operator="equal">
      <formula>"Amber"</formula>
    </cfRule>
    <cfRule type="cellIs" dxfId="2" priority="3" operator="equal">
      <formula>"Rood"</formula>
    </cfRule>
  </conditionalFormatting>
  <dataValidations count="5">
    <dataValidation type="list" allowBlank="1" showInputMessage="1" showErrorMessage="1" sqref="C5">
      <formula1>"Groen,Amber,Rood"</formula1>
    </dataValidation>
    <dataValidation type="list" allowBlank="1" showInputMessage="1" showErrorMessage="1" sqref="C6">
      <formula1>"Groen,Amber,Rood"</formula1>
    </dataValidation>
    <dataValidation type="list" allowBlank="1" showInputMessage="1" showErrorMessage="1" sqref="C7">
      <formula1>"Groen,Amber,Rood"</formula1>
    </dataValidation>
    <dataValidation type="list" allowBlank="1" showInputMessage="1" showErrorMessage="1" sqref="C8">
      <formula1>"Groen,Amber,Rood"</formula1>
    </dataValidation>
    <dataValidation type="list" allowBlank="1" showInputMessage="1" showErrorMessage="1" sqref="C9">
      <formula1>"Groen,Amber,Rood"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44.7109375" customWidth="1"/>
    <col min="2" max="4" width="14.7109375" customWidth="1"/>
    <col min="5" max="5" width="10.7109375" customWidth="1"/>
  </cols>
  <sheetData>
    <row r="1" spans="1:5" ht="40" customHeight="1">
      <c r="A1" s="1" t="s">
        <v>111</v>
      </c>
      <c r="B1" s="1"/>
      <c r="C1" s="1"/>
      <c r="D1" s="2" t="s">
        <v>112</v>
      </c>
      <c r="E1" s="2"/>
    </row>
    <row r="2" spans="1:5" ht="18" customHeight="1"/>
    <row r="3" spans="1:5" ht="6" customHeight="1"/>
    <row r="4" spans="1:5">
      <c r="A4" s="14" t="s">
        <v>113</v>
      </c>
      <c r="B4" s="14" t="s">
        <v>81</v>
      </c>
      <c r="C4" s="14" t="s">
        <v>114</v>
      </c>
      <c r="D4" s="14" t="s">
        <v>82</v>
      </c>
      <c r="E4" s="14" t="s">
        <v>53</v>
      </c>
    </row>
    <row r="5" spans="1:5" ht="28" customHeight="1">
      <c r="A5" s="16" t="s">
        <v>115</v>
      </c>
      <c r="B5" s="19" t="s">
        <v>86</v>
      </c>
      <c r="C5" s="19" t="s">
        <v>116</v>
      </c>
      <c r="D5" s="19" t="s">
        <v>87</v>
      </c>
      <c r="E5" s="17" t="s">
        <v>61</v>
      </c>
    </row>
    <row r="6" spans="1:5" ht="28" customHeight="1">
      <c r="A6" s="16" t="s">
        <v>117</v>
      </c>
      <c r="B6" s="19" t="s">
        <v>95</v>
      </c>
      <c r="C6" s="19" t="s">
        <v>118</v>
      </c>
      <c r="D6" s="19" t="s">
        <v>87</v>
      </c>
      <c r="E6" s="17" t="s">
        <v>70</v>
      </c>
    </row>
    <row r="7" spans="1:5" ht="28" customHeight="1">
      <c r="A7" s="16" t="s">
        <v>119</v>
      </c>
      <c r="B7" s="19" t="s">
        <v>91</v>
      </c>
      <c r="C7" s="19" t="s">
        <v>118</v>
      </c>
      <c r="D7" s="19" t="s">
        <v>41</v>
      </c>
      <c r="E7" s="17" t="s">
        <v>61</v>
      </c>
    </row>
    <row r="8" spans="1:5" ht="28" customHeight="1">
      <c r="A8" s="16" t="s">
        <v>120</v>
      </c>
      <c r="B8" s="19" t="s">
        <v>86</v>
      </c>
      <c r="C8" s="19" t="s">
        <v>118</v>
      </c>
      <c r="D8" s="19" t="s">
        <v>41</v>
      </c>
      <c r="E8" s="17" t="s">
        <v>56</v>
      </c>
    </row>
    <row r="10" spans="1:5" ht="16" customHeight="1">
      <c r="A10" s="13" t="s">
        <v>49</v>
      </c>
      <c r="B10" s="13"/>
      <c r="C10" s="13"/>
      <c r="D10" s="13"/>
      <c r="E10" s="13"/>
    </row>
  </sheetData>
  <sheetProtection sheet="1" objects="1" scenarios="1"/>
  <mergeCells count="3">
    <mergeCell ref="A1:C1"/>
    <mergeCell ref="D1:E1"/>
    <mergeCell ref="A10:E10"/>
  </mergeCells>
  <conditionalFormatting sqref="E5:E8">
    <cfRule type="cellIs" dxfId="0" priority="1" operator="equal">
      <formula>"Groen"</formula>
    </cfRule>
    <cfRule type="cellIs" dxfId="1" priority="2" operator="equal">
      <formula>"Amber"</formula>
    </cfRule>
    <cfRule type="cellIs" dxfId="2" priority="3" operator="equal">
      <formula>"Rood"</formula>
    </cfRule>
  </conditionalFormatting>
  <dataValidations count="4">
    <dataValidation type="list" allowBlank="1" showInputMessage="1" showErrorMessage="1" sqref="E5">
      <formula1>"Groen,Amber,Rood"</formula1>
    </dataValidation>
    <dataValidation type="list" allowBlank="1" showInputMessage="1" showErrorMessage="1" sqref="E6">
      <formula1>"Groen,Amber,Rood"</formula1>
    </dataValidation>
    <dataValidation type="list" allowBlank="1" showInputMessage="1" showErrorMessage="1" sqref="E7">
      <formula1>"Groen,Amber,Rood"</formula1>
    </dataValidation>
    <dataValidation type="list" allowBlank="1" showInputMessage="1" showErrorMessage="1" sqref="E8">
      <formula1>"Groen,Amber,Rood"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46.7109375" customWidth="1"/>
    <col min="2" max="2" width="22.7109375" customWidth="1"/>
    <col min="3" max="3" width="20.7109375" customWidth="1"/>
    <col min="4" max="4" width="12.7109375" customWidth="1"/>
  </cols>
  <sheetData>
    <row r="1" spans="1:4" ht="40" customHeight="1">
      <c r="A1" s="1" t="s">
        <v>121</v>
      </c>
      <c r="B1" s="1"/>
      <c r="C1" s="2" t="s">
        <v>122</v>
      </c>
      <c r="D1" s="2"/>
    </row>
    <row r="2" spans="1:4" ht="18" customHeight="1"/>
    <row r="3" spans="1:4" ht="6" customHeight="1"/>
    <row r="4" spans="1:4">
      <c r="A4" s="14" t="s">
        <v>123</v>
      </c>
      <c r="B4" s="14" t="s">
        <v>124</v>
      </c>
      <c r="C4" s="14" t="s">
        <v>125</v>
      </c>
      <c r="D4" s="14" t="s">
        <v>126</v>
      </c>
    </row>
    <row r="5" spans="1:4" ht="26" customHeight="1">
      <c r="A5" s="21" t="s">
        <v>127</v>
      </c>
      <c r="B5" s="19" t="s">
        <v>128</v>
      </c>
      <c r="C5" s="19" t="s">
        <v>129</v>
      </c>
      <c r="D5" s="19" t="s">
        <v>130</v>
      </c>
    </row>
    <row r="6" spans="1:4" ht="26" customHeight="1">
      <c r="A6" s="21" t="s">
        <v>131</v>
      </c>
      <c r="B6" s="19" t="s">
        <v>132</v>
      </c>
      <c r="C6" s="19" t="s">
        <v>133</v>
      </c>
      <c r="D6" s="19" t="s">
        <v>130</v>
      </c>
    </row>
    <row r="7" spans="1:4" ht="26" customHeight="1">
      <c r="A7" s="21" t="s">
        <v>134</v>
      </c>
      <c r="B7" s="19" t="s">
        <v>135</v>
      </c>
      <c r="C7" s="19" t="s">
        <v>136</v>
      </c>
      <c r="D7" s="19" t="s">
        <v>137</v>
      </c>
    </row>
    <row r="8" spans="1:4" ht="26" customHeight="1">
      <c r="A8" s="21" t="s">
        <v>138</v>
      </c>
      <c r="B8" s="19" t="s">
        <v>139</v>
      </c>
      <c r="C8" s="19" t="s">
        <v>140</v>
      </c>
      <c r="D8" s="19" t="s">
        <v>137</v>
      </c>
    </row>
    <row r="10" spans="1:4" ht="30" customHeight="1">
      <c r="A10" s="22" t="s">
        <v>141</v>
      </c>
      <c r="B10" s="22"/>
      <c r="C10" s="22"/>
      <c r="D10" s="22"/>
    </row>
    <row r="12" spans="1:4" ht="16" customHeight="1">
      <c r="A12" s="13" t="s">
        <v>49</v>
      </c>
      <c r="B12" s="13"/>
      <c r="C12" s="13"/>
      <c r="D12" s="13"/>
    </row>
  </sheetData>
  <sheetProtection sheet="1" objects="1" scenarios="1"/>
  <mergeCells count="4">
    <mergeCell ref="A1:B1"/>
    <mergeCell ref="C1:D1"/>
    <mergeCell ref="A10:D10"/>
    <mergeCell ref="A12:D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3.7109375" customWidth="1"/>
    <col min="2" max="2" width="36.7109375" customWidth="1"/>
    <col min="3" max="3" width="14.7109375" customWidth="1"/>
    <col min="4" max="4" width="40.7109375" customWidth="1"/>
  </cols>
  <sheetData>
    <row r="1" spans="1:4" ht="40" customHeight="1">
      <c r="A1" s="1" t="s">
        <v>142</v>
      </c>
      <c r="B1" s="1"/>
      <c r="C1" s="2" t="s">
        <v>143</v>
      </c>
      <c r="D1" s="2"/>
    </row>
    <row r="2" spans="1:4" ht="18" customHeight="1"/>
    <row r="4" spans="1:4" ht="24" customHeight="1">
      <c r="B4" s="3" t="s">
        <v>144</v>
      </c>
      <c r="C4" s="3"/>
      <c r="D4" s="3"/>
    </row>
    <row r="5" spans="1:4" ht="24" customHeight="1">
      <c r="B5" s="23" t="s">
        <v>145</v>
      </c>
      <c r="C5" s="24">
        <f>COUNTIF('2-Domeinstatus'!$C$5:$C$12,"Groen")</f>
        <v>0</v>
      </c>
    </row>
    <row r="6" spans="1:4" ht="24" customHeight="1">
      <c r="B6" s="23" t="s">
        <v>146</v>
      </c>
      <c r="C6" s="24">
        <f>COUNTIF('2-Domeinstatus'!$C$5:$C$12,"Amber")</f>
        <v>0</v>
      </c>
    </row>
    <row r="7" spans="1:4" ht="24" customHeight="1">
      <c r="B7" s="23" t="s">
        <v>147</v>
      </c>
      <c r="C7" s="24">
        <f>COUNTIF('2-Domeinstatus'!$C$5:$C$12,"Rood")</f>
        <v>0</v>
      </c>
    </row>
    <row r="9" spans="1:4" ht="24" customHeight="1">
      <c r="B9" s="3" t="s">
        <v>148</v>
      </c>
      <c r="C9" s="3"/>
      <c r="D9" s="3"/>
    </row>
    <row r="10" spans="1:4" ht="46" customHeight="1">
      <c r="B10" s="23" t="s">
        <v>149</v>
      </c>
      <c r="C10" s="25">
        <f>IFERROR((COUNTIF('2-Domeinstatus'!$C$5:$C$12,"Groen")*1+COUNTIF('2-Domeinstatus'!$C$5:$C$12,"Amber")*0.5)/(COUNTIF('2-Domeinstatus'!$C$5:$C$12,"Groen")+COUNTIF('2-Domeinstatus'!$C$5:$C$12,"Amber")+COUNTIF('2-Domeinstatus'!$C$5:$C$12,"Rood")),0)</f>
        <v>0</v>
      </c>
    </row>
    <row r="12" spans="1:4" ht="30" customHeight="1">
      <c r="B12" s="8" t="s">
        <v>150</v>
      </c>
      <c r="C12" s="8"/>
      <c r="D12" s="8"/>
    </row>
    <row r="14" spans="1:4" ht="16" customHeight="1">
      <c r="A14" s="13" t="s">
        <v>49</v>
      </c>
      <c r="B14" s="13"/>
      <c r="C14" s="13"/>
      <c r="D14" s="13"/>
    </row>
  </sheetData>
  <sheetProtection sheet="1" objects="1" scenarios="1"/>
  <mergeCells count="6">
    <mergeCell ref="A1:B1"/>
    <mergeCell ref="C1:D1"/>
    <mergeCell ref="B4:D4"/>
    <mergeCell ref="B9:D9"/>
    <mergeCell ref="B12:D12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Gebruikswijzer</vt:lpstr>
      <vt:lpstr>1-Samenvatting</vt:lpstr>
      <vt:lpstr>2-Domeinstatus</vt:lpstr>
      <vt:lpstr>3-Top-risicos</vt:lpstr>
      <vt:lpstr>4-Incidenten</vt:lpstr>
      <vt:lpstr>5-Actieplan</vt:lpstr>
      <vt:lpstr>6-Investering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2026-06-08T20:29:20Z</dcterms:created>
  <dcterms:modified xsi:type="dcterms:W3CDTF">2026-06-08T20:29:20Z</dcterms:modified>
</cp:coreProperties>
</file>