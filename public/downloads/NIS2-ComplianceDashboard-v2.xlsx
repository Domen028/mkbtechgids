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iance Dashboard" sheetId="1" r:id="rId1"/>
    <sheet name="KPI Overzicht" sheetId="2" r:id="rId2"/>
    <sheet name="Instructies" sheetId="3" r:id="rId3"/>
  </sheets>
  <calcPr calcId="124519" fullCalcOnLoad="1"/>
</workbook>
</file>

<file path=xl/sharedStrings.xml><?xml version="1.0" encoding="utf-8"?>
<sst xmlns="http://schemas.openxmlformats.org/spreadsheetml/2006/main" count="136" uniqueCount="130">
  <si>
    <t>NIS2 COMPLIANCE DASHBOARD — Jaaroverzicht Modules 1–8</t>
  </si>
  <si>
    <t>Bedrijf:</t>
  </si>
  <si>
    <t>{{BEDRIJFSNAAM}}</t>
  </si>
  <si>
    <t>Reviewjaar:</t>
  </si>
  <si>
    <t>{{JAAR}}</t>
  </si>
  <si>
    <t>Versie:</t>
  </si>
  <si>
    <t>1.0</t>
  </si>
  <si>
    <t>Directeur:</t>
  </si>
  <si>
    <t>{{NAAM DIRECTEUR}}</t>
  </si>
  <si>
    <t>Datum review:</t>
  </si>
  <si>
    <t>{{DATUM}}</t>
  </si>
  <si>
    <t>Groen:</t>
  </si>
  <si>
    <t>Amber:</t>
  </si>
  <si>
    <t>Rood:</t>
  </si>
  <si>
    <t>→ Doel: alle 8 modules Groen vóór auditperiode · ISO 27001 Cl. 9.1/9.3</t>
  </si>
  <si>
    <t>Module</t>
  </si>
  <si>
    <t>Onderwerp</t>
  </si>
  <si>
    <t>NIS2-verplichtingen (Art.)</t>
  </si>
  <si>
    <t>Status</t>
  </si>
  <si>
    <t>Bewijs
aanwezig</t>
  </si>
  <si>
    <t>Module
ondertekend</t>
  </si>
  <si>
    <t>Versie</t>
  </si>
  <si>
    <t>Aandachtspunten / acties</t>
  </si>
  <si>
    <t>M1</t>
  </si>
  <si>
    <t>Zelfevaluatie</t>
  </si>
  <si>
    <t>21(2)(a)</t>
  </si>
  <si>
    <t>M2</t>
  </si>
  <si>
    <t>Risicoanalyse</t>
  </si>
  <si>
    <t>21(2)(a) + ISO Cl. 6.1.2</t>
  </si>
  <si>
    <t>M3</t>
  </si>
  <si>
    <t>Beveiligingsmaatregelen</t>
  </si>
  <si>
    <t>21(2)(a t/m j)</t>
  </si>
  <si>
    <t>M4</t>
  </si>
  <si>
    <t>Leveranciersbeveiliging</t>
  </si>
  <si>
    <t>21(2)(d) + AVG Art. 28</t>
  </si>
  <si>
    <t>M5</t>
  </si>
  <si>
    <t>Bedrijfscontinuïteit</t>
  </si>
  <si>
    <t>21(2)(c) + Art. 23</t>
  </si>
  <si>
    <t>M6</t>
  </si>
  <si>
    <t>Medewerkers &amp; Bewustzijn</t>
  </si>
  <si>
    <t>21(2)(g)(i) + AVG Art. 29</t>
  </si>
  <si>
    <t>M7</t>
  </si>
  <si>
    <t>Documentatie &amp; Logging</t>
  </si>
  <si>
    <t>21(2)(e)(h)</t>
  </si>
  <si>
    <t>M8</t>
  </si>
  <si>
    <t>Jaarlijkse Review</t>
  </si>
  <si>
    <t>21(2)(f) + ISO Cl. 9.3</t>
  </si>
  <si>
    <t>MKBTechGids  ·  NIS2 Compliance Toolkit v1.0  ·  KVK 27348456  ·  BTW NL004968309B61  ·  mkbtechgids.nl</t>
  </si>
  <si>
    <t>NIS2 KPI OVERZICHT — Sleutelmetrieken Jaarlijkse Review (ISO 27001 Cl. 9.1)</t>
  </si>
  <si>
    <t>Vul in op basis van de Module-uitkomsten, registers en jaar-meetgegevens.</t>
  </si>
  <si>
    <t>ID</t>
  </si>
  <si>
    <t>KPI</t>
  </si>
  <si>
    <t>Doel</t>
  </si>
  <si>
    <t>Huidig jaar</t>
  </si>
  <si>
    <t>Vorig jaar</t>
  </si>
  <si>
    <t>Trend</t>
  </si>
  <si>
    <t>K01</t>
  </si>
  <si>
    <t>% NIS2-modules volledig ingevuld en ondertekend</t>
  </si>
  <si>
    <t>100%</t>
  </si>
  <si>
    <t>K02</t>
  </si>
  <si>
    <t>Aantal significante beveiligingsincidenten</t>
  </si>
  <si>
    <t>0</t>
  </si>
  <si>
    <t>K03</t>
  </si>
  <si>
    <t>% medewerkers met voltooide jaarlijkse training</t>
  </si>
  <si>
    <t>K04</t>
  </si>
  <si>
    <t>Phishing-simulatie klikratio (gemiddeld)</t>
  </si>
  <si>
    <t>&lt;5%</t>
  </si>
  <si>
    <t>K05</t>
  </si>
  <si>
    <t>% kritieke systemen met centrale logging</t>
  </si>
  <si>
    <t>K06</t>
  </si>
  <si>
    <t>% leveranciers (Kritiek) met geldige beoordeling</t>
  </si>
  <si>
    <t>K07</t>
  </si>
  <si>
    <t>Backuphersteltest geslaagd (laatste 6 maanden)</t>
  </si>
  <si>
    <t>Ja</t>
  </si>
  <si>
    <t>K08</t>
  </si>
  <si>
    <t>Gemiddelde patchcyclus kritieke systemen</t>
  </si>
  <si>
    <t>≤30 dagen</t>
  </si>
  <si>
    <t>K09</t>
  </si>
  <si>
    <t>NIS2 Art. 23 meldingen bij NCSC</t>
  </si>
  <si>
    <t>0 (of correct gemeld)</t>
  </si>
  <si>
    <t>K10</t>
  </si>
  <si>
    <t>Gemiddelde residueel risicoscore (Module 2 R1)</t>
  </si>
  <si>
    <t>&lt;8,0</t>
  </si>
  <si>
    <t>K11</t>
  </si>
  <si>
    <t>Leveranciers zonder geldige DPA (%)</t>
  </si>
  <si>
    <t>0%</t>
  </si>
  <si>
    <t>K12</t>
  </si>
  <si>
    <t>Openstaande P1 security-acties ouder dan 30 dagen</t>
  </si>
  <si>
    <t>INSTRUCTIES — NIS2 Compliance Dashboard v2</t>
  </si>
  <si>
    <t>NIS2 Art. 21(2)(f) · ISO 27001 Cl. 9.1/9.3/10.2 · Cyberbeveiligingswet · Gebruik voor Module 8 Jaarlijkse Review</t>
  </si>
  <si>
    <t>STAP-VOOR-STAP</t>
  </si>
  <si>
    <t>Stap 1</t>
  </si>
  <si>
    <t>Vul bedrijfsnaam, directeur, reviewjaar en datum review in (rij 2-3).</t>
  </si>
  <si>
    <t>Stap 2</t>
  </si>
  <si>
    <t>Per module: Status Groen/Amber/Rood op basis van het ingevulde module-document.</t>
  </si>
  <si>
    <t>Stap 3</t>
  </si>
  <si>
    <t>Bewijs aanwezig: Ja = ingevuld + ondertekend DOCX beschikbaar in compliance-dossier.</t>
  </si>
  <si>
    <t>Stap 4</t>
  </si>
  <si>
    <t>Ondertekend: Ja = §9 van het module-document is ondertekend door directie.</t>
  </si>
  <si>
    <t>Stap 5</t>
  </si>
  <si>
    <t>Aandachtspunten: noteer openstaande acties of verbeterpunten per module.</t>
  </si>
  <si>
    <t>Stap 6</t>
  </si>
  <si>
    <t>KPI Overzicht: vul alle 12 KPI's in voor de directierapportage.</t>
  </si>
  <si>
    <t>Stap 7</t>
  </si>
  <si>
    <t>Exporteer als PDF en voeg toe aan het compliance-dossier (Module 8 §3b).</t>
  </si>
  <si>
    <t>KLEURCODERING — AUTOMATISCH NA INVULLEN</t>
  </si>
  <si>
    <t>🟢 Status Groen</t>
  </si>
  <si>
    <t>Cel groen — module volledig geïmplementeerd, bewijs beschikbaar</t>
  </si>
  <si>
    <t>🟠 Status Amber</t>
  </si>
  <si>
    <t>Cel oranje — module gedeeltelijk of in uitvoering, actieplan vereist</t>
  </si>
  <si>
    <t>🔴 Status Rood</t>
  </si>
  <si>
    <t>Cel rood — module niet geïmplementeerd of bewijs ontbreekt, urgente actie</t>
  </si>
  <si>
    <t>🔴 Bewijs Nee</t>
  </si>
  <si>
    <t>Cel rood — geen ondertekend document aanwezig, compliance-risico</t>
  </si>
  <si>
    <t>🟢 KPI-trend ↑</t>
  </si>
  <si>
    <t>Cel groen — verbetering t.o.v. vorig jaar</t>
  </si>
  <si>
    <t>🔴 KPI-trend ↓</t>
  </si>
  <si>
    <t>Cel rood — verslechtering t.o.v. vorig jaar</t>
  </si>
  <si>
    <t>COMPLIANCE</t>
  </si>
  <si>
    <t>NIS2 Art. 21(2)(f)</t>
  </si>
  <si>
    <t>Effectiviteitsbeoordeling maatregelen — dit dashboard is het primaire bewijs</t>
  </si>
  <si>
    <t>ISO 27001 Cl. 9.1</t>
  </si>
  <si>
    <t>Monitoring en prestatie-evaluatie — dashboard dekt deze clausule volledig</t>
  </si>
  <si>
    <t>ISO 27001 Cl. 9.3</t>
  </si>
  <si>
    <t>Directiebeoordeling — dit dashboard is de agenda voor de review-meeting</t>
  </si>
  <si>
    <t>Cyberbeveiligingswet</t>
  </si>
  <si>
    <t>Nederlandse omzettingswet NIS2 — dit dashboard is bewijs van jaarlijkse beoordeling</t>
  </si>
  <si>
    <t>💡 Upgrade</t>
  </si>
  <si>
    <t>Wilt u dit dashboard automatiseren? NIS2Scan.nl SaaS (gepland) — vraag info via mkbtechgids.nl</t>
  </si>
  <si>
    <t>Onderdeel van de MKBTechGids NIS2 Compliance Toolkit (Complete Toolkit €249) · mkbtechgids.nl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</si>
</sst>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9"/>
      <color rgb="FF713F12"/>
      <name val="Calibri"/>
      <family val="2"/>
      <scheme val="minor"/>
    </font>
    <font>
      <b/>
      <sz val="10"/>
      <color rgb="FF713F12"/>
      <name val="Calibri"/>
      <family val="2"/>
      <scheme val="minor"/>
    </font>
    <font>
      <b/>
      <sz val="9"/>
      <color rgb="FF6B7280"/>
      <name val="Calibri"/>
      <family val="2"/>
      <scheme val="minor"/>
    </font>
    <font>
      <b/>
      <sz val="10"/>
      <color rgb="FF374151"/>
      <name val="Calibri"/>
      <family val="2"/>
      <scheme val="minor"/>
    </font>
    <font>
      <sz val="8"/>
      <color rgb="FF6B7280"/>
      <name val="Calibri"/>
      <family val="2"/>
      <scheme val="minor"/>
    </font>
    <font>
      <b/>
      <sz val="10"/>
      <color rgb="FF14532D"/>
      <name val="Calibri"/>
      <family val="2"/>
      <scheme val="minor"/>
    </font>
    <font>
      <b/>
      <sz val="10"/>
      <color rgb="FFD97706"/>
      <name val="Calibri"/>
      <family val="2"/>
      <scheme val="minor"/>
    </font>
    <font>
      <b/>
      <sz val="10"/>
      <color rgb="FFDC2626"/>
      <name val="Calibri"/>
      <family val="2"/>
      <scheme val="minor"/>
    </font>
    <font>
      <i/>
      <sz val="9"/>
      <color rgb="FF1D4ED8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1D4ED8"/>
      <name val="Calibri"/>
      <family val="2"/>
      <scheme val="minor"/>
    </font>
    <font>
      <sz val="9"/>
      <color rgb="FF6B7280"/>
      <name val="Calibri"/>
      <family val="2"/>
      <scheme val="minor"/>
    </font>
    <font>
      <sz val="10"/>
      <color rgb="FF374151"/>
      <name val="Calibri"/>
      <family val="2"/>
      <scheme val="minor"/>
    </font>
    <font>
      <i/>
      <sz val="8"/>
      <color rgb="FF9CA3AF"/>
      <name val="Calibri"/>
      <family val="2"/>
      <scheme val="minor"/>
    </font>
    <font>
      <i/>
      <sz val="10"/>
      <color rgb="FF6B7280"/>
      <name val="Calibri"/>
      <family val="2"/>
      <scheme val="minor"/>
    </font>
    <font>
      <sz val="9"/>
      <color rgb="FF9CA3AF"/>
      <name val="Calibri"/>
      <family val="2"/>
      <scheme val="minor"/>
    </font>
    <font>
      <b/>
      <sz val="10"/>
      <color rgb="FF15803D"/>
      <name val="Calibri"/>
      <family val="2"/>
      <scheme val="minor"/>
    </font>
    <font>
      <sz val="11"/>
      <color rgb="FF37415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C1C2E"/>
      <name val="Calibri"/>
      <family val="2"/>
      <scheme val="minor"/>
    </font>
    <font>
      <i/>
      <sz val="9"/>
      <color rgb="FF37415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C1C2E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0FDF4"/>
        <bgColor indexed="6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 applyProtection="1">
      <alignment horizontal="right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/>
    <xf numFmtId="0" fontId="6" fillId="4" borderId="0" xfId="0" applyFont="1" applyFill="1" applyAlignment="1">
      <alignment horizontal="right" vertical="center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vertical="center"/>
    </xf>
    <xf numFmtId="0" fontId="11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 applyProtection="1">
      <alignment horizontal="center" vertical="center"/>
      <protection locked="0"/>
    </xf>
    <xf numFmtId="0" fontId="14" fillId="7" borderId="1" xfId="0" applyFont="1" applyFill="1" applyBorder="1" applyAlignment="1" applyProtection="1">
      <alignment horizontal="left" vertical="center" wrapText="1"/>
      <protection locked="0"/>
    </xf>
    <xf numFmtId="0" fontId="12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 applyProtection="1">
      <alignment horizontal="center" vertical="center"/>
      <protection locked="0"/>
    </xf>
    <xf numFmtId="0" fontId="14" fillId="9" borderId="1" xfId="0" applyFont="1" applyFill="1" applyBorder="1" applyAlignment="1" applyProtection="1">
      <alignment horizontal="left" vertical="center" wrapText="1"/>
      <protection locked="0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vertical="center"/>
    </xf>
    <xf numFmtId="0" fontId="0" fillId="9" borderId="0" xfId="0" applyFill="1"/>
    <xf numFmtId="0" fontId="17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/>
    </xf>
    <xf numFmtId="0" fontId="18" fillId="10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 applyProtection="1">
      <alignment horizontal="center" vertical="center"/>
      <protection locked="0"/>
    </xf>
    <xf numFmtId="0" fontId="17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 vertical="center"/>
    </xf>
    <xf numFmtId="0" fontId="19" fillId="9" borderId="1" xfId="0" applyFont="1" applyFill="1" applyBorder="1" applyAlignment="1" applyProtection="1">
      <alignment horizontal="center" vertical="center"/>
      <protection locked="0"/>
    </xf>
    <xf numFmtId="0" fontId="16" fillId="4" borderId="0" xfId="0" applyFont="1" applyFill="1" applyAlignment="1">
      <alignment horizontal="left" vertical="center"/>
    </xf>
    <xf numFmtId="0" fontId="20" fillId="6" borderId="0" xfId="0" applyFont="1" applyFill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 wrapText="1"/>
    </xf>
    <xf numFmtId="0" fontId="22" fillId="5" borderId="0" xfId="0" applyFont="1" applyFill="1" applyAlignment="1">
      <alignment horizontal="center" vertical="center"/>
    </xf>
  </cellXfs>
  <cellStyles count="1">
    <cellStyle name="Normal" xfId="0" builtinId="0"/>
  </cellStyles>
  <dxfs count="6">
    <dxf>
      <font>
        <b/>
        <color rgb="FF15803D"/>
      </font>
      <fill>
        <patternFill>
          <bgColor rgb="FFF0FDF4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D97706"/>
      </font>
      <fill>
        <patternFill>
          <bgColor rgb="FFFFFBEB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DC2626"/>
      </font>
      <fill>
        <patternFill>
          <bgColor rgb="FFFEF2F2"/>
        </patternFill>
      </fill>
      <border>
        <left style="thin">
          <color rgb="FFE5E7EB"/>
        </left>
        <right style="thin">
          <color rgb="FFE5E7EB"/>
        </right>
        <top style="thin">
          <color rgb="FFE5E7EB"/>
        </top>
        <bottom style="thin">
          <color rgb="FFE5E7EB"/>
        </bottom>
        <vertical/>
        <horizontal/>
      </border>
    </dxf>
    <dxf>
      <font>
        <b/>
        <color rgb="FFDC2626"/>
      </font>
      <fill>
        <patternFill>
          <bgColor rgb="FFFEF2F2"/>
        </patternFill>
      </fill>
    </dxf>
    <dxf>
      <font>
        <b/>
        <color rgb="FF15803D"/>
      </font>
      <fill>
        <patternFill>
          <bgColor rgb="FFF0FDF4"/>
        </patternFill>
      </fill>
    </dxf>
    <dxf>
      <font>
        <b/>
        <color rgb="FF374151"/>
      </font>
      <fill>
        <patternFill>
          <bgColor rgb="FFF9FAF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zoomScale="90" zoomScaleNormal="90" workbookViewId="0">
      <pane ySplit="5" topLeftCell="A6" activePane="bottomLeft" state="frozen"/>
      <selection pane="bottomLeft"/>
    </sheetView>
  </sheetViews>
  <sheetFormatPr defaultRowHeight="15"/>
  <cols>
    <col min="1" max="1" width="5.7109375" customWidth="1"/>
    <col min="2" max="2" width="28.7109375" customWidth="1"/>
    <col min="3" max="3" width="22.7109375" customWidth="1"/>
    <col min="4" max="6" width="14.7109375" customWidth="1"/>
    <col min="7" max="7" width="18.7109375" customWidth="1"/>
    <col min="8" max="8" width="20.7109375" customWidth="1"/>
  </cols>
  <sheetData>
    <row r="1" spans="1:8" ht="4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2" customHeight="1">
      <c r="A2" s="2" t="s">
        <v>1</v>
      </c>
      <c r="B2" s="2"/>
      <c r="C2" s="3" t="s">
        <v>2</v>
      </c>
      <c r="D2" s="3"/>
      <c r="E2" s="4" t="s">
        <v>3</v>
      </c>
      <c r="F2" s="3" t="s">
        <v>4</v>
      </c>
      <c r="G2" s="4" t="s">
        <v>5</v>
      </c>
      <c r="H2" s="5" t="s">
        <v>6</v>
      </c>
    </row>
    <row r="3" spans="1:8" ht="22" customHeight="1">
      <c r="A3" s="2" t="s">
        <v>7</v>
      </c>
      <c r="B3" s="2"/>
      <c r="C3" s="3" t="s">
        <v>8</v>
      </c>
      <c r="D3" s="3"/>
      <c r="E3" s="4" t="s">
        <v>9</v>
      </c>
      <c r="F3" s="3" t="s">
        <v>10</v>
      </c>
      <c r="G3" s="6"/>
      <c r="H3" s="6"/>
    </row>
    <row r="4" spans="1:8" ht="22" customHeight="1">
      <c r="A4" s="7" t="s">
        <v>11</v>
      </c>
      <c r="B4" s="8">
        <f>COUNTIF(D6:D13,"Groen")</f>
        <v>0</v>
      </c>
      <c r="C4" s="7" t="s">
        <v>12</v>
      </c>
      <c r="D4" s="9">
        <f>COUNTIF(D6:D13,"Amber")</f>
        <v>0</v>
      </c>
      <c r="E4" s="7" t="s">
        <v>13</v>
      </c>
      <c r="F4" s="10">
        <f>COUNTIF(D6:D13,"Rood")</f>
        <v>0</v>
      </c>
      <c r="G4" s="11" t="s">
        <v>14</v>
      </c>
      <c r="H4" s="11"/>
    </row>
    <row r="5" spans="1:8" ht="36" customHeight="1">
      <c r="A5" s="12" t="s">
        <v>15</v>
      </c>
      <c r="B5" s="12" t="s">
        <v>16</v>
      </c>
      <c r="C5" s="12" t="s">
        <v>17</v>
      </c>
      <c r="D5" s="12" t="s">
        <v>18</v>
      </c>
      <c r="E5" s="12" t="s">
        <v>19</v>
      </c>
      <c r="F5" s="12" t="s">
        <v>20</v>
      </c>
      <c r="G5" s="12" t="s">
        <v>21</v>
      </c>
      <c r="H5" s="12" t="s">
        <v>22</v>
      </c>
    </row>
    <row r="6" spans="1:8">
      <c r="A6" s="13" t="s">
        <v>23</v>
      </c>
      <c r="B6" s="14" t="s">
        <v>24</v>
      </c>
      <c r="C6" s="15" t="s">
        <v>25</v>
      </c>
      <c r="D6" s="16"/>
      <c r="E6" s="17"/>
      <c r="F6" s="17"/>
      <c r="G6" s="17"/>
      <c r="H6" s="18"/>
    </row>
    <row r="7" spans="1:8">
      <c r="A7" s="19" t="s">
        <v>26</v>
      </c>
      <c r="B7" s="20" t="s">
        <v>27</v>
      </c>
      <c r="C7" s="21" t="s">
        <v>28</v>
      </c>
      <c r="D7" s="16"/>
      <c r="E7" s="22"/>
      <c r="F7" s="22"/>
      <c r="G7" s="22"/>
      <c r="H7" s="23"/>
    </row>
    <row r="8" spans="1:8">
      <c r="A8" s="13" t="s">
        <v>29</v>
      </c>
      <c r="B8" s="14" t="s">
        <v>30</v>
      </c>
      <c r="C8" s="15" t="s">
        <v>31</v>
      </c>
      <c r="D8" s="16"/>
      <c r="E8" s="17"/>
      <c r="F8" s="17"/>
      <c r="G8" s="17"/>
      <c r="H8" s="18"/>
    </row>
    <row r="9" spans="1:8">
      <c r="A9" s="19" t="s">
        <v>32</v>
      </c>
      <c r="B9" s="20" t="s">
        <v>33</v>
      </c>
      <c r="C9" s="21" t="s">
        <v>34</v>
      </c>
      <c r="D9" s="16"/>
      <c r="E9" s="22"/>
      <c r="F9" s="22"/>
      <c r="G9" s="22"/>
      <c r="H9" s="23"/>
    </row>
    <row r="10" spans="1:8">
      <c r="A10" s="13" t="s">
        <v>35</v>
      </c>
      <c r="B10" s="14" t="s">
        <v>36</v>
      </c>
      <c r="C10" s="15" t="s">
        <v>37</v>
      </c>
      <c r="D10" s="16"/>
      <c r="E10" s="17"/>
      <c r="F10" s="17"/>
      <c r="G10" s="17"/>
      <c r="H10" s="18"/>
    </row>
    <row r="11" spans="1:8">
      <c r="A11" s="19" t="s">
        <v>38</v>
      </c>
      <c r="B11" s="20" t="s">
        <v>39</v>
      </c>
      <c r="C11" s="21" t="s">
        <v>40</v>
      </c>
      <c r="D11" s="16"/>
      <c r="E11" s="22"/>
      <c r="F11" s="22"/>
      <c r="G11" s="22"/>
      <c r="H11" s="23"/>
    </row>
    <row r="12" spans="1:8">
      <c r="A12" s="13" t="s">
        <v>41</v>
      </c>
      <c r="B12" s="14" t="s">
        <v>42</v>
      </c>
      <c r="C12" s="15" t="s">
        <v>43</v>
      </c>
      <c r="D12" s="16"/>
      <c r="E12" s="17"/>
      <c r="F12" s="17"/>
      <c r="G12" s="17"/>
      <c r="H12" s="18"/>
    </row>
    <row r="13" spans="1:8">
      <c r="A13" s="19" t="s">
        <v>44</v>
      </c>
      <c r="B13" s="20" t="s">
        <v>45</v>
      </c>
      <c r="C13" s="21" t="s">
        <v>46</v>
      </c>
      <c r="D13" s="16"/>
      <c r="E13" s="22"/>
      <c r="F13" s="22"/>
      <c r="G13" s="22"/>
      <c r="H13" s="23"/>
    </row>
    <row r="16" spans="1:8">
      <c r="A16" s="24" t="s">
        <v>47</v>
      </c>
      <c r="B16" s="24"/>
      <c r="C16" s="24"/>
      <c r="D16" s="24"/>
      <c r="E16" s="24"/>
      <c r="F16" s="24"/>
      <c r="G16" s="24"/>
      <c r="H16" s="24"/>
    </row>
  </sheetData>
  <sheetProtection sheet="1" objects="1" scenarios="1"/>
  <mergeCells count="8">
    <mergeCell ref="A1:H1"/>
    <mergeCell ref="A2:B2"/>
    <mergeCell ref="C2:D2"/>
    <mergeCell ref="A3:B3"/>
    <mergeCell ref="C3:D3"/>
    <mergeCell ref="G3:H3"/>
    <mergeCell ref="G4:H4"/>
    <mergeCell ref="A16:H16"/>
  </mergeCells>
  <conditionalFormatting sqref="D6:D13">
    <cfRule type="containsText" dxfId="0" priority="1" operator="containsText" text="Groen">
      <formula>NOT(ISERROR(SEARCH("Groen",D6)))</formula>
    </cfRule>
    <cfRule type="containsText" dxfId="1" priority="2" operator="containsText" text="Amber">
      <formula>NOT(ISERROR(SEARCH("Amber",D6)))</formula>
    </cfRule>
    <cfRule type="containsText" dxfId="2" priority="3" operator="containsText" text="Rood">
      <formula>NOT(ISERROR(SEARCH("Rood",D6)))</formula>
    </cfRule>
  </conditionalFormatting>
  <conditionalFormatting sqref="E6:E13">
    <cfRule type="containsText" dxfId="3" priority="4" operator="containsText" text="Nee">
      <formula>NOT(ISERROR(SEARCH("Nee",E6)))</formula>
    </cfRule>
  </conditionalFormatting>
  <dataValidations count="3">
    <dataValidation type="list" allowBlank="1" showInputMessage="1" showErrorMessage="1" sqref="D6:D13">
      <formula1>"Groen,Amber,Rood"</formula1>
    </dataValidation>
    <dataValidation type="list" allowBlank="1" showInputMessage="1" showErrorMessage="1" sqref="E6:E13">
      <formula1>"Ja,Nee,Gedeeltelijk"</formula1>
    </dataValidation>
    <dataValidation type="list" allowBlank="1" showInputMessage="1" showErrorMessage="1" sqref="F6:F13">
      <formula1>"Ja,Nee"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38.7109375" customWidth="1"/>
    <col min="3" max="3" width="14.7109375" customWidth="1"/>
    <col min="4" max="4" width="16.7109375" customWidth="1"/>
    <col min="5" max="6" width="18.7109375" customWidth="1"/>
  </cols>
  <sheetData>
    <row r="1" spans="1:6" ht="36" customHeight="1">
      <c r="A1" s="1" t="s">
        <v>48</v>
      </c>
      <c r="B1" s="1"/>
      <c r="C1" s="1"/>
      <c r="D1" s="1"/>
      <c r="E1" s="1"/>
      <c r="F1" s="1"/>
    </row>
    <row r="2" spans="1:6" ht="22" customHeight="1">
      <c r="A2" s="25" t="s">
        <v>49</v>
      </c>
      <c r="B2" s="25"/>
      <c r="C2" s="25"/>
      <c r="D2" s="25"/>
      <c r="E2" s="25"/>
      <c r="F2" s="25"/>
    </row>
    <row r="3" spans="1:6" ht="22" customHeight="1">
      <c r="A3" s="26"/>
      <c r="B3" s="26"/>
      <c r="C3" s="26"/>
      <c r="D3" s="26"/>
      <c r="E3" s="26"/>
      <c r="F3" s="26"/>
    </row>
    <row r="4" spans="1:6" ht="36" customHeight="1">
      <c r="A4" s="12" t="s">
        <v>50</v>
      </c>
      <c r="B4" s="12" t="s">
        <v>51</v>
      </c>
      <c r="C4" s="12" t="s">
        <v>52</v>
      </c>
      <c r="D4" s="12" t="s">
        <v>53</v>
      </c>
      <c r="E4" s="12" t="s">
        <v>54</v>
      </c>
      <c r="F4" s="12" t="s">
        <v>55</v>
      </c>
    </row>
    <row r="5" spans="1:6">
      <c r="A5" s="27" t="s">
        <v>56</v>
      </c>
      <c r="B5" s="28" t="s">
        <v>57</v>
      </c>
      <c r="C5" s="29" t="s">
        <v>58</v>
      </c>
      <c r="D5" s="16"/>
      <c r="E5" s="16"/>
      <c r="F5" s="30"/>
    </row>
    <row r="6" spans="1:6">
      <c r="A6" s="31" t="s">
        <v>59</v>
      </c>
      <c r="B6" s="32" t="s">
        <v>60</v>
      </c>
      <c r="C6" s="29" t="s">
        <v>61</v>
      </c>
      <c r="D6" s="16"/>
      <c r="E6" s="16"/>
      <c r="F6" s="33"/>
    </row>
    <row r="7" spans="1:6">
      <c r="A7" s="27" t="s">
        <v>62</v>
      </c>
      <c r="B7" s="28" t="s">
        <v>63</v>
      </c>
      <c r="C7" s="29" t="s">
        <v>58</v>
      </c>
      <c r="D7" s="16"/>
      <c r="E7" s="16"/>
      <c r="F7" s="30"/>
    </row>
    <row r="8" spans="1:6">
      <c r="A8" s="31" t="s">
        <v>64</v>
      </c>
      <c r="B8" s="32" t="s">
        <v>65</v>
      </c>
      <c r="C8" s="29" t="s">
        <v>66</v>
      </c>
      <c r="D8" s="16"/>
      <c r="E8" s="16"/>
      <c r="F8" s="33"/>
    </row>
    <row r="9" spans="1:6">
      <c r="A9" s="27" t="s">
        <v>67</v>
      </c>
      <c r="B9" s="28" t="s">
        <v>68</v>
      </c>
      <c r="C9" s="29" t="s">
        <v>58</v>
      </c>
      <c r="D9" s="16"/>
      <c r="E9" s="16"/>
      <c r="F9" s="30"/>
    </row>
    <row r="10" spans="1:6">
      <c r="A10" s="31" t="s">
        <v>69</v>
      </c>
      <c r="B10" s="32" t="s">
        <v>70</v>
      </c>
      <c r="C10" s="29" t="s">
        <v>58</v>
      </c>
      <c r="D10" s="16"/>
      <c r="E10" s="16"/>
      <c r="F10" s="33"/>
    </row>
    <row r="11" spans="1:6">
      <c r="A11" s="27" t="s">
        <v>71</v>
      </c>
      <c r="B11" s="28" t="s">
        <v>72</v>
      </c>
      <c r="C11" s="29" t="s">
        <v>73</v>
      </c>
      <c r="D11" s="16"/>
      <c r="E11" s="16"/>
      <c r="F11" s="30"/>
    </row>
    <row r="12" spans="1:6">
      <c r="A12" s="31" t="s">
        <v>74</v>
      </c>
      <c r="B12" s="32" t="s">
        <v>75</v>
      </c>
      <c r="C12" s="29" t="s">
        <v>76</v>
      </c>
      <c r="D12" s="16"/>
      <c r="E12" s="16"/>
      <c r="F12" s="33"/>
    </row>
    <row r="13" spans="1:6">
      <c r="A13" s="27" t="s">
        <v>77</v>
      </c>
      <c r="B13" s="28" t="s">
        <v>78</v>
      </c>
      <c r="C13" s="29" t="s">
        <v>79</v>
      </c>
      <c r="D13" s="16"/>
      <c r="E13" s="16"/>
      <c r="F13" s="30"/>
    </row>
    <row r="14" spans="1:6">
      <c r="A14" s="31" t="s">
        <v>80</v>
      </c>
      <c r="B14" s="32" t="s">
        <v>81</v>
      </c>
      <c r="C14" s="29" t="s">
        <v>82</v>
      </c>
      <c r="D14" s="16"/>
      <c r="E14" s="16"/>
      <c r="F14" s="33"/>
    </row>
    <row r="15" spans="1:6">
      <c r="A15" s="27" t="s">
        <v>83</v>
      </c>
      <c r="B15" s="28" t="s">
        <v>84</v>
      </c>
      <c r="C15" s="29" t="s">
        <v>85</v>
      </c>
      <c r="D15" s="16"/>
      <c r="E15" s="16"/>
      <c r="F15" s="30"/>
    </row>
    <row r="16" spans="1:6">
      <c r="A16" s="31" t="s">
        <v>86</v>
      </c>
      <c r="B16" s="32" t="s">
        <v>87</v>
      </c>
      <c r="C16" s="29" t="s">
        <v>61</v>
      </c>
      <c r="D16" s="16"/>
      <c r="E16" s="16"/>
      <c r="F16" s="33"/>
    </row>
    <row r="18" spans="1:6">
      <c r="A18" s="24" t="s">
        <v>47</v>
      </c>
      <c r="B18" s="24"/>
      <c r="C18" s="24"/>
      <c r="D18" s="24"/>
      <c r="E18" s="24"/>
      <c r="F18" s="24"/>
    </row>
  </sheetData>
  <sheetProtection sheet="1" objects="1" scenarios="1"/>
  <mergeCells count="4">
    <mergeCell ref="A1:F1"/>
    <mergeCell ref="A2:F2"/>
    <mergeCell ref="A3:F3"/>
    <mergeCell ref="A18:F18"/>
  </mergeCells>
  <conditionalFormatting sqref="F5:F16">
    <cfRule type="containsText" dxfId="4" priority="1" operator="containsText" text="↑">
      <formula>NOT(ISERROR(SEARCH("↑",F5)))</formula>
    </cfRule>
    <cfRule type="containsText" dxfId="5" priority="2" operator="containsText" text="→">
      <formula>NOT(ISERROR(SEARCH("→",F5)))</formula>
    </cfRule>
    <cfRule type="containsText" dxfId="3" priority="3" operator="containsText" text="↓">
      <formula>NOT(ISERROR(SEARCH("↓",F5)))</formula>
    </cfRule>
  </conditionalFormatting>
  <dataValidations count="1">
    <dataValidation type="list" allowBlank="1" showInputMessage="1" showErrorMessage="1" sqref="F5:F16">
      <formula1>"↑ Verbeterd,→ Gelijk,↓ Verslechterd,n.v.t."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FormatPr defaultRowHeight="15"/>
  <cols>
    <col min="1" max="1" width="4.7109375" customWidth="1"/>
    <col min="2" max="2" width="28.7109375" customWidth="1"/>
    <col min="3" max="3" width="65.7109375" customWidth="1"/>
  </cols>
  <sheetData>
    <row r="1" spans="1:3" ht="40" customHeight="1">
      <c r="A1" s="1" t="s">
        <v>88</v>
      </c>
      <c r="B1" s="1"/>
      <c r="C1" s="1"/>
    </row>
    <row r="2" spans="1:3" ht="22" customHeight="1">
      <c r="A2" s="34" t="s">
        <v>89</v>
      </c>
      <c r="B2" s="34"/>
      <c r="C2" s="34"/>
    </row>
    <row r="4" spans="1:3" ht="22" customHeight="1">
      <c r="A4" s="35" t="s">
        <v>90</v>
      </c>
      <c r="B4" s="35"/>
      <c r="C4" s="35"/>
    </row>
    <row r="5" spans="1:3" ht="22" customHeight="1">
      <c r="A5" s="36"/>
      <c r="B5" s="37" t="s">
        <v>91</v>
      </c>
      <c r="C5" s="36" t="s">
        <v>92</v>
      </c>
    </row>
    <row r="6" spans="1:3" ht="22" customHeight="1">
      <c r="A6" s="38"/>
      <c r="B6" s="37" t="s">
        <v>93</v>
      </c>
      <c r="C6" s="38" t="s">
        <v>94</v>
      </c>
    </row>
    <row r="7" spans="1:3" ht="22" customHeight="1">
      <c r="A7" s="36"/>
      <c r="B7" s="37" t="s">
        <v>95</v>
      </c>
      <c r="C7" s="36" t="s">
        <v>96</v>
      </c>
    </row>
    <row r="8" spans="1:3" ht="22" customHeight="1">
      <c r="A8" s="38"/>
      <c r="B8" s="37" t="s">
        <v>97</v>
      </c>
      <c r="C8" s="38" t="s">
        <v>98</v>
      </c>
    </row>
    <row r="9" spans="1:3" ht="22" customHeight="1">
      <c r="A9" s="36"/>
      <c r="B9" s="37" t="s">
        <v>99</v>
      </c>
      <c r="C9" s="36" t="s">
        <v>100</v>
      </c>
    </row>
    <row r="10" spans="1:3" ht="22" customHeight="1">
      <c r="A10" s="38"/>
      <c r="B10" s="37" t="s">
        <v>101</v>
      </c>
      <c r="C10" s="38" t="s">
        <v>102</v>
      </c>
    </row>
    <row r="11" spans="1:3" ht="22" customHeight="1">
      <c r="A11" s="36"/>
      <c r="B11" s="37" t="s">
        <v>103</v>
      </c>
      <c r="C11" s="36" t="s">
        <v>104</v>
      </c>
    </row>
    <row r="12" spans="1:3" ht="22" customHeight="1">
      <c r="A12" s="35" t="s">
        <v>105</v>
      </c>
      <c r="B12" s="35"/>
      <c r="C12" s="35"/>
    </row>
    <row r="13" spans="1:3" ht="22" customHeight="1">
      <c r="A13" s="36"/>
      <c r="B13" s="37" t="s">
        <v>106</v>
      </c>
      <c r="C13" s="36" t="s">
        <v>107</v>
      </c>
    </row>
    <row r="14" spans="1:3" ht="22" customHeight="1">
      <c r="A14" s="38"/>
      <c r="B14" s="37" t="s">
        <v>108</v>
      </c>
      <c r="C14" s="38" t="s">
        <v>109</v>
      </c>
    </row>
    <row r="15" spans="1:3" ht="22" customHeight="1">
      <c r="A15" s="36"/>
      <c r="B15" s="37" t="s">
        <v>110</v>
      </c>
      <c r="C15" s="36" t="s">
        <v>111</v>
      </c>
    </row>
    <row r="16" spans="1:3" ht="22" customHeight="1">
      <c r="A16" s="38"/>
      <c r="B16" s="37" t="s">
        <v>112</v>
      </c>
      <c r="C16" s="38" t="s">
        <v>113</v>
      </c>
    </row>
    <row r="17" spans="1:3" ht="22" customHeight="1">
      <c r="A17" s="36"/>
      <c r="B17" s="37" t="s">
        <v>114</v>
      </c>
      <c r="C17" s="36" t="s">
        <v>115</v>
      </c>
    </row>
    <row r="18" spans="1:3" ht="22" customHeight="1">
      <c r="A18" s="38"/>
      <c r="B18" s="37" t="s">
        <v>116</v>
      </c>
      <c r="C18" s="38" t="s">
        <v>117</v>
      </c>
    </row>
    <row r="19" spans="1:3" ht="22" customHeight="1">
      <c r="A19" s="35" t="s">
        <v>118</v>
      </c>
      <c r="B19" s="35"/>
      <c r="C19" s="35"/>
    </row>
    <row r="20" spans="1:3" ht="22" customHeight="1">
      <c r="A20" s="38"/>
      <c r="B20" s="37" t="s">
        <v>119</v>
      </c>
      <c r="C20" s="38" t="s">
        <v>120</v>
      </c>
    </row>
    <row r="21" spans="1:3" ht="22" customHeight="1">
      <c r="A21" s="36"/>
      <c r="B21" s="37" t="s">
        <v>121</v>
      </c>
      <c r="C21" s="36" t="s">
        <v>122</v>
      </c>
    </row>
    <row r="22" spans="1:3" ht="22" customHeight="1">
      <c r="A22" s="38"/>
      <c r="B22" s="37" t="s">
        <v>123</v>
      </c>
      <c r="C22" s="38" t="s">
        <v>124</v>
      </c>
    </row>
    <row r="23" spans="1:3" ht="22" customHeight="1">
      <c r="A23" s="36"/>
      <c r="B23" s="37" t="s">
        <v>125</v>
      </c>
      <c r="C23" s="36" t="s">
        <v>126</v>
      </c>
    </row>
    <row r="24" spans="1:3" ht="22" customHeight="1">
      <c r="A24" s="38"/>
      <c r="B24" s="37" t="s">
        <v>127</v>
      </c>
      <c r="C24" s="38" t="s">
        <v>128</v>
      </c>
    </row>
    <row r="26" spans="1:3">
      <c r="A26" s="39" t="s">
        <v>129</v>
      </c>
      <c r="B26" s="39"/>
      <c r="C26" s="39"/>
    </row>
    <row r="27" spans="1:3">
      <c r="A27" s="24" t="s">
        <v>47</v>
      </c>
      <c r="B27" s="24"/>
      <c r="C27" s="24"/>
    </row>
  </sheetData>
  <sheetProtection sheet="1" objects="1" scenarios="1"/>
  <mergeCells count="7">
    <mergeCell ref="A1:C1"/>
    <mergeCell ref="A2:C2"/>
    <mergeCell ref="A4:C4"/>
    <mergeCell ref="A12:C12"/>
    <mergeCell ref="A19:C19"/>
    <mergeCell ref="A26:C26"/>
    <mergeCell ref="A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Compliance Dashboard</vt:lpstr>
      <vt:lpstr>KPI Overzicht</vt:lpstr>
      <vt:lpstr>Instructies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2026-06-08T08:13:37Z</dcterms:created>
  <dcterms:modified xsi:type="dcterms:W3CDTF">2026-06-08T08:13:37Z</dcterms:modified>
</cp:coreProperties>
</file>