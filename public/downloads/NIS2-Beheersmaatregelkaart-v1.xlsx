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heersmaatregelkaart" sheetId="1" state="visible" r:id="rId3"/>
    <sheet name="Gebruikswijz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<sst xmlns="http://schemas.openxmlformats.org/spreadsheetml/2006/main" count="464" uniqueCount="307">
  <si>
    <t xml:space="preserve">NIS2 BEHEERSMAATREGELKAART — 30 Beveiligingsmaatregelen &amp; Risicoscore-effect</t>
  </si>
  <si>
    <t xml:space="preserve">Instrument · Fase 2 Voorbereiding · Invulhulp kolom I Risicoregister · Art. 21(2)</t>
  </si>
  <si>
    <t xml:space="preserve">Gebruik: (1) Identificeer uw dreigingsrisico in het Risicoregister · (2) Selecteer passende maatregel(en) · (3) Noteer in kolom I van het Risicoregister · (4) Pas uw Uw W en Uw I scores aan met de ΔW en ΔI waarden</t>
  </si>
  <si>
    <t xml:space="preserve">Bedrijf:</t>
  </si>
  <si>
    <t xml:space="preserve">{{BEDRIJFSNAAM}}</t>
  </si>
  <si>
    <t xml:space="preserve">Datum:</t>
  </si>
  <si>
    <t xml:space="preserve">{{DATUM}}</t>
  </si>
  <si>
    <t xml:space="preserve">Technisch:</t>
  </si>
  <si>
    <t xml:space="preserve">Organisatorisch:</t>
  </si>
  <si>
    <t xml:space="preserve">Fysiek:</t>
  </si>
  <si>
    <t xml:space="preserve">Nr</t>
  </si>
  <si>
    <t xml:space="preserve">Type</t>
  </si>
  <si>
    <t xml:space="preserve">Maatregel</t>
  </si>
  <si>
    <t xml:space="preserve">Beschrijving</t>
  </si>
  <si>
    <t xml:space="preserve">Risico-
categorieën</t>
  </si>
  <si>
    <t xml:space="preserve">ΔW
(effect)</t>
  </si>
  <si>
    <t xml:space="preserve">ΔI
(effect)</t>
  </si>
  <si>
    <t xml:space="preserve">Implementatie-
moeite</t>
  </si>
  <si>
    <t xml:space="preserve">Tijds-
investering</t>
  </si>
  <si>
    <t xml:space="preserve">Kosten
(indicatief)</t>
  </si>
  <si>
    <t xml:space="preserve">NIS2
Artikel</t>
  </si>
  <si>
    <t xml:space="preserve">ISO 27001
Control</t>
  </si>
  <si>
    <t xml:space="preserve">Toelichting effect op score</t>
  </si>
  <si>
    <t xml:space="preserve">Eigen notities</t>
  </si>
  <si>
    <t xml:space="preserve">M01</t>
  </si>
  <si>
    <t xml:space="preserve">T</t>
  </si>
  <si>
    <t xml:space="preserve">Multi-factor authenticatie (MFA)</t>
  </si>
  <si>
    <t xml:space="preserve">Tweede verificatiefactor vereist naast wachtwoord voor alle kritieke systemen en accounts.</t>
  </si>
  <si>
    <t xml:space="preserve">ACC, SOC, INS</t>
  </si>
  <si>
    <t xml:space="preserve">-2</t>
  </si>
  <si>
    <t xml:space="preserve">0</t>
  </si>
  <si>
    <t xml:space="preserve">Laag</t>
  </si>
  <si>
    <t xml:space="preserve">4–16 uur</t>
  </si>
  <si>
    <t xml:space="preserve">€0–€200/jaar (licentie)</t>
  </si>
  <si>
    <t xml:space="preserve">Art. 21(2)(j)</t>
  </si>
  <si>
    <t xml:space="preserve">A.8.5</t>
  </si>
  <si>
    <t xml:space="preserve">Elimineert 99,9% van credential-gebaseerde aanvallen. W –2 voor ACC-risico's.</t>
  </si>
  <si>
    <t xml:space="preserve">M02</t>
  </si>
  <si>
    <t xml:space="preserve">Endpoint Detection &amp; Response (EDR)</t>
  </si>
  <si>
    <t xml:space="preserve">Gedragsgebaseerde detectie en respons op eindpunten in real-time.</t>
  </si>
  <si>
    <t xml:space="preserve">MAL, INS</t>
  </si>
  <si>
    <t xml:space="preserve">-1</t>
  </si>
  <si>
    <t xml:space="preserve">Middel</t>
  </si>
  <si>
    <t xml:space="preserve">1–3 weken</t>
  </si>
  <si>
    <t xml:space="preserve">€30–€80/gebruiker/jaar</t>
  </si>
  <si>
    <t xml:space="preserve">Art. 21(2)(b)(e)</t>
  </si>
  <si>
    <t xml:space="preserve">A.8.7, A.8.16</t>
  </si>
  <si>
    <t xml:space="preserve">Detecteert ransomware in vroeg stadium. Kortere dwell time → I –1.</t>
  </si>
  <si>
    <t xml:space="preserve">M03</t>
  </si>
  <si>
    <t xml:space="preserve">Patch management (&lt;30 dagen kritiek)</t>
  </si>
  <si>
    <t xml:space="preserve">Gestructureerd proces voor tijdige installatie van beveiligingspatches op alle systemen.</t>
  </si>
  <si>
    <t xml:space="preserve">GOV, ACC</t>
  </si>
  <si>
    <t xml:space="preserve">8–24 uur inrichting</t>
  </si>
  <si>
    <t xml:space="preserve">€0 (proces) – €500 (tooling)</t>
  </si>
  <si>
    <t xml:space="preserve">Art. 21(2)(e)</t>
  </si>
  <si>
    <t xml:space="preserve">A.8.8</t>
  </si>
  <si>
    <t xml:space="preserve">Sluit bekende kwetsbaarheden af. W –2 voor GOV risico ongepatchte systemen.</t>
  </si>
  <si>
    <t xml:space="preserve">M04</t>
  </si>
  <si>
    <t xml:space="preserve">Netwerksegmentatie (VLAN/Firewall)</t>
  </si>
  <si>
    <t xml:space="preserve">Opdeling van netwerk in zones; kritieke systemen gescheiden van kantoornetwerk.</t>
  </si>
  <si>
    <t xml:space="preserve">MAL, OT, ACC</t>
  </si>
  <si>
    <t xml:space="preserve">Hoog</t>
  </si>
  <si>
    <t xml:space="preserve">2–6 weken</t>
  </si>
  <si>
    <t xml:space="preserve">€1.000–€10.000</t>
  </si>
  <si>
    <t xml:space="preserve">A.8.22</t>
  </si>
  <si>
    <t xml:space="preserve">Beperkt lateral movement na inbraak. I –2: aanvaller bereikt minder systemen.</t>
  </si>
  <si>
    <t xml:space="preserve">M05</t>
  </si>
  <si>
    <t xml:space="preserve">SIEM / Security monitoring (24/7)</t>
  </si>
  <si>
    <t xml:space="preserve">Gecentraliseerde logging en realtime analyse van beveiligingsgebeurtenissen.</t>
  </si>
  <si>
    <t xml:space="preserve">GOV, MAL, ACC</t>
  </si>
  <si>
    <t xml:space="preserve">4–12 weken</t>
  </si>
  <si>
    <t xml:space="preserve">€500–€5.000/maand</t>
  </si>
  <si>
    <t xml:space="preserve">Art. 21(2)(f)</t>
  </si>
  <si>
    <t xml:space="preserve">A.8.15, A.8.16</t>
  </si>
  <si>
    <t xml:space="preserve">Verkort dwell time van gem. 200 → 30 dagen. Snellere respons → I –1.</t>
  </si>
  <si>
    <t xml:space="preserve">M06</t>
  </si>
  <si>
    <t xml:space="preserve">Backup &amp; herstel (3-2-1 strategie + maandelijkse test)</t>
  </si>
  <si>
    <t xml:space="preserve">3 kopieën, 2 media, 1 offsite. Maandelijkse hersteltest gedocumenteerd.</t>
  </si>
  <si>
    <t xml:space="preserve">MAL, BCM</t>
  </si>
  <si>
    <t xml:space="preserve">8–16 uur inrichting</t>
  </si>
  <si>
    <t xml:space="preserve">€200–€2.000/jaar</t>
  </si>
  <si>
    <t xml:space="preserve">Art. 21(2)(c)</t>
  </si>
  <si>
    <t xml:space="preserve">A.8.13</t>
  </si>
  <si>
    <t xml:space="preserve">Maakt ransomware herstelbaar zonder losgeld. I –2 voor MAL/BCM risico's.</t>
  </si>
  <si>
    <t xml:space="preserve">M07</t>
  </si>
  <si>
    <t xml:space="preserve">Email beveiliging (DMARC + DKIM + SPF)</t>
  </si>
  <si>
    <t xml:space="preserve">Configuratie van anti-spoofing protocollen op e-maildomeinen.</t>
  </si>
  <si>
    <t xml:space="preserve">SOC</t>
  </si>
  <si>
    <t xml:space="preserve">4–8 uur</t>
  </si>
  <si>
    <t xml:space="preserve">€0–€100/jaar</t>
  </si>
  <si>
    <t xml:space="preserve">A.8.23</t>
  </si>
  <si>
    <t xml:space="preserve">Blokkeert e-mail spoofing. W –1 voor phishing/BEC aanvallen.</t>
  </si>
  <si>
    <t xml:space="preserve">M08</t>
  </si>
  <si>
    <t xml:space="preserve">Web Application Firewall (WAF)</t>
  </si>
  <si>
    <t xml:space="preserve">Filtering van HTTP-verkeer om webapplicatie-aanvallen te blokkeren.</t>
  </si>
  <si>
    <t xml:space="preserve">DAT, DEN</t>
  </si>
  <si>
    <t xml:space="preserve">1–2 weken</t>
  </si>
  <si>
    <t xml:space="preserve">€500–€3.000/jaar</t>
  </si>
  <si>
    <t xml:space="preserve">A.8.28</t>
  </si>
  <si>
    <t xml:space="preserve">Blokkeert SQLi, XSS, DDoS layer 7. W –1, I –1 voor DAT/DEN risico's.</t>
  </si>
  <si>
    <t xml:space="preserve">M09</t>
  </si>
  <si>
    <t xml:space="preserve">DDoS mitigatie (scrubbing / CDN)</t>
  </si>
  <si>
    <t xml:space="preserve">Anti-DDoS bescherming via scrubbing center of Content Delivery Network.</t>
  </si>
  <si>
    <t xml:space="preserve">DEN</t>
  </si>
  <si>
    <t xml:space="preserve">€200–€2.000/maand</t>
  </si>
  <si>
    <t xml:space="preserve">A.8.6</t>
  </si>
  <si>
    <t xml:space="preserve">Absorbeert volumetrische aanvallen. W –2, I –1 voor DEN risico's.</t>
  </si>
  <si>
    <t xml:space="preserve">M10</t>
  </si>
  <si>
    <t xml:space="preserve">Encryptie in rust en transit (TLS 1.3 + AES-256)</t>
  </si>
  <si>
    <t xml:space="preserve">Versleuteling van data op schijf en in overdracht via actuele standaarden.</t>
  </si>
  <si>
    <t xml:space="preserve">DAT, GOV</t>
  </si>
  <si>
    <t xml:space="preserve">€0–€500</t>
  </si>
  <si>
    <t xml:space="preserve">Art. 21(2)(h)</t>
  </si>
  <si>
    <t xml:space="preserve">A.8.24</t>
  </si>
  <si>
    <t xml:space="preserve">Maakt gestolen data onleesbaar. I –1 voor DAT-datalekken.</t>
  </si>
  <si>
    <t xml:space="preserve">M11</t>
  </si>
  <si>
    <t xml:space="preserve">Privileged Access Management (PAM)</t>
  </si>
  <si>
    <t xml:space="preserve">Beheer en monitoring van beheerdersaccounts via just-in-time en session recording.</t>
  </si>
  <si>
    <t xml:space="preserve">ACC, INS</t>
  </si>
  <si>
    <t xml:space="preserve">3–8 weken</t>
  </si>
  <si>
    <t xml:space="preserve">€2.000–€20.000/jaar</t>
  </si>
  <si>
    <t xml:space="preserve">Art. 21(2)(i)(j)</t>
  </si>
  <si>
    <t xml:space="preserve">A.8.2, A.8.18</t>
  </si>
  <si>
    <t xml:space="preserve">Beperkt schade van gecompromitteerd admin-account. W –1, I –1.</t>
  </si>
  <si>
    <t xml:space="preserve">M12</t>
  </si>
  <si>
    <t xml:space="preserve">Vulnerability scanning (kwartaal + na wijziging)</t>
  </si>
  <si>
    <t xml:space="preserve">Geautomatiseerde scan van systemen op bekende kwetsbaarheden.</t>
  </si>
  <si>
    <t xml:space="preserve">4–8 uur inrichting</t>
  </si>
  <si>
    <t xml:space="preserve">€0–€2.000/jaar</t>
  </si>
  <si>
    <t xml:space="preserve">Identificeert ongepatchte systemen proactief. W –1 voor GOV risico's.</t>
  </si>
  <si>
    <t xml:space="preserve">M13</t>
  </si>
  <si>
    <t xml:space="preserve">Zero Trust netwerktoegang (ZTNA)</t>
  </si>
  <si>
    <t xml:space="preserve">Toegang op basis van identiteitsverificatie per sessie, ongeacht netwerklokatie.</t>
  </si>
  <si>
    <t xml:space="preserve">6–16 weken</t>
  </si>
  <si>
    <t xml:space="preserve">€5.000–€50.000</t>
  </si>
  <si>
    <t xml:space="preserve">Art. 21(2)(e)(j)</t>
  </si>
  <si>
    <t xml:space="preserve">A.8.20, A.8.5</t>
  </si>
  <si>
    <t xml:space="preserve">Elimineert VPN-risico's, beperkt lateral movement. W –2, I –1.</t>
  </si>
  <si>
    <t xml:space="preserve">M14</t>
  </si>
  <si>
    <t xml:space="preserve">Cloud Security Posture Management (CSPM)</t>
  </si>
  <si>
    <t xml:space="preserve">Automatische detectie van cloud-misconfiguraties en afwijkingen van security baseline.</t>
  </si>
  <si>
    <t xml:space="preserve">€500–€5.000/jaar</t>
  </si>
  <si>
    <t xml:space="preserve">A.8.7, A.8.23</t>
  </si>
  <si>
    <t xml:space="preserve">Detecteert open S3-buckets, verkeerde permissies. W –1, I –1 voor DAT.</t>
  </si>
  <si>
    <t xml:space="preserve">M15</t>
  </si>
  <si>
    <t xml:space="preserve">DNS-beveiliging (DNSSEC + DNS filtering)</t>
  </si>
  <si>
    <t xml:space="preserve">Cryptografische DNS-integriteit + blokkering van malafide domeinen.</t>
  </si>
  <si>
    <t xml:space="preserve">DEN, MAL</t>
  </si>
  <si>
    <t xml:space="preserve">€0–€200/jaar</t>
  </si>
  <si>
    <t xml:space="preserve">A.8.20, A.8.21</t>
  </si>
  <si>
    <t xml:space="preserve">Blokkeert C2-verkeer, DNS hijacking. W –1 voor DEN/MAL risico's.</t>
  </si>
  <si>
    <t xml:space="preserve">M16</t>
  </si>
  <si>
    <t xml:space="preserve">OT/ICS netwerksegmentatie (Purdue Model)</t>
  </si>
  <si>
    <t xml:space="preserve">Strikte scheiding IT/OT via DMZ; geen directe verbinding IT-netwerk met OT.</t>
  </si>
  <si>
    <t xml:space="preserve">OT</t>
  </si>
  <si>
    <t xml:space="preserve">A.8.22, A.8.20</t>
  </si>
  <si>
    <t xml:space="preserve">Voorkomt lateral movement IT→OT. I –2: OT bereikbaar vanuit IT dramatisch verlaagd.</t>
  </si>
  <si>
    <t xml:space="preserve">M17</t>
  </si>
  <si>
    <t xml:space="preserve">Mobile Device Management (MDM)</t>
  </si>
  <si>
    <t xml:space="preserve">Beheer en afdwingen van beveiligingsbeleid op mobiele apparaten.</t>
  </si>
  <si>
    <t xml:space="preserve">ACC, DAT</t>
  </si>
  <si>
    <t xml:space="preserve">€5–€15/apparaat/maand</t>
  </si>
  <si>
    <t xml:space="preserve">Art. 21(2)(i)</t>
  </si>
  <si>
    <t xml:space="preserve">A.8.1, A.8.5</t>
  </si>
  <si>
    <t xml:space="preserve">Enforces encryptie, remote wipe. W –1 voor ACC via mobiele apparaten.</t>
  </si>
  <si>
    <t xml:space="preserve">M18</t>
  </si>
  <si>
    <t xml:space="preserve">Data Loss Prevention (DLP)</t>
  </si>
  <si>
    <t xml:space="preserve">Automatische detectie en blokkering van ongeautoriseerde dataoverdracht.</t>
  </si>
  <si>
    <t xml:space="preserve">DAT, INS</t>
  </si>
  <si>
    <t xml:space="preserve">A.5.33, A.8.10</t>
  </si>
  <si>
    <t xml:space="preserve">Detecteert en blokkeert exfiltratie van gevoelige data. I –1 voor DAT/INS.</t>
  </si>
  <si>
    <t xml:space="preserve">M19</t>
  </si>
  <si>
    <t xml:space="preserve">O</t>
  </si>
  <si>
    <t xml:space="preserve">Security Awareness Training (jaarlijks + phishing simulatie)</t>
  </si>
  <si>
    <t xml:space="preserve">Jaarlijkse training voor alle medewerkers + kwartaallijkse phishing-simulaties.</t>
  </si>
  <si>
    <t xml:space="preserve">SOC, INS</t>
  </si>
  <si>
    <t xml:space="preserve">8–16 uur/jaar</t>
  </si>
  <si>
    <t xml:space="preserve">Art. 21(2)(g)</t>
  </si>
  <si>
    <t xml:space="preserve">A.6.3</t>
  </si>
  <si>
    <t xml:space="preserve">Vermindert klik-rate op phishing van gem. 30% naar &lt;5%. W –1 voor SOC.</t>
  </si>
  <si>
    <t xml:space="preserve">M20</t>
  </si>
  <si>
    <t xml:space="preserve">Incidentrespons plan + tabletop oefening (jaarlijks)</t>
  </si>
  <si>
    <t xml:space="preserve">Gedocumenteerd IR-plan met rollen, escalaties en jaarlijkse oefening.</t>
  </si>
  <si>
    <t xml:space="preserve">GOV, MAL, BCM</t>
  </si>
  <si>
    <t xml:space="preserve">16–40 uur opstellen</t>
  </si>
  <si>
    <t xml:space="preserve">€0 intern – €2.000 extern</t>
  </si>
  <si>
    <t xml:space="preserve">Art. 21(2)(b)</t>
  </si>
  <si>
    <t xml:space="preserve">A.5.24, A.5.25, A.5.26</t>
  </si>
  <si>
    <t xml:space="preserve">Verkort responstijd bij incident. I –1: minder escalatie door voorbereiding.</t>
  </si>
  <si>
    <t xml:space="preserve">M21</t>
  </si>
  <si>
    <t xml:space="preserve">Leveranciersbeoordeling (jaarlijks + bij contractering)</t>
  </si>
  <si>
    <t xml:space="preserve">Jaarlijkse beveiligingsbeoordeling van kritieke leveranciers via vragenlijst of audit.</t>
  </si>
  <si>
    <t xml:space="preserve">SUP</t>
  </si>
  <si>
    <t xml:space="preserve">8–24 uur/jaar</t>
  </si>
  <si>
    <t xml:space="preserve">Art. 21(2)(d)</t>
  </si>
  <si>
    <t xml:space="preserve">A.5.19, A.5.20</t>
  </si>
  <si>
    <t xml:space="preserve">Identificeert zwakke schakel in keten. W –1, I –1 voor SUP risico's.</t>
  </si>
  <si>
    <t xml:space="preserve">M22</t>
  </si>
  <si>
    <t xml:space="preserve">Access review (kwartaallijks voor kritieke rechten)</t>
  </si>
  <si>
    <t xml:space="preserve">Periodieke controle of gebruikerstoegangsrechten nog correct en noodzakelijk zijn.</t>
  </si>
  <si>
    <t xml:space="preserve">4–8 uur/kwartaal</t>
  </si>
  <si>
    <t xml:space="preserve">€0</t>
  </si>
  <si>
    <t xml:space="preserve">Detecteert ex-medewerkers en overmatige rechten. W –1 voor ACC/INS.</t>
  </si>
  <si>
    <t xml:space="preserve">M23</t>
  </si>
  <si>
    <t xml:space="preserve">Change management proces (vier-ogen + testomgeving)</t>
  </si>
  <si>
    <t xml:space="preserve">Gestructureerd goedkeuringsproces voor wijzigingen aan productiesystemen.</t>
  </si>
  <si>
    <t xml:space="preserve">GOV, INS</t>
  </si>
  <si>
    <t xml:space="preserve">A.8.32</t>
  </si>
  <si>
    <t xml:space="preserve">Voorkomt onbedoelde fouten in productie. W –1, I –1 voor GOV/INS.</t>
  </si>
  <si>
    <t xml:space="preserve">M24</t>
  </si>
  <si>
    <t xml:space="preserve">Software Bill of Materials (SBOM) beheer</t>
  </si>
  <si>
    <t xml:space="preserve">Registratie van alle software-componenten en bibliotheken in gebruik.</t>
  </si>
  <si>
    <t xml:space="preserve">SUP, GOV</t>
  </si>
  <si>
    <t xml:space="preserve">A.8.30, A.5.20</t>
  </si>
  <si>
    <t xml:space="preserve">Maakt supply chain risico zichtbaar en beheerbaar. W –1, I –1 voor SUP.</t>
  </si>
  <si>
    <t xml:space="preserve">M25</t>
  </si>
  <si>
    <t xml:space="preserve">Security policy framework (gedocumenteerd en jaarlijks herzien)</t>
  </si>
  <si>
    <t xml:space="preserve">Formeel beleidsdocument met scope, verantwoordelijkheden en normen.</t>
  </si>
  <si>
    <t xml:space="preserve">GOV</t>
  </si>
  <si>
    <t xml:space="preserve">8–24 uur opstellen</t>
  </si>
  <si>
    <t xml:space="preserve">Art. 21(2)(a)</t>
  </si>
  <si>
    <t xml:space="preserve">A.5.1, A.5.2</t>
  </si>
  <si>
    <t xml:space="preserve">Basis voor alle overige maatregelen. Toezichthouder verwacht dit. I –1.</t>
  </si>
  <si>
    <t xml:space="preserve">M26</t>
  </si>
  <si>
    <t xml:space="preserve">Penetratietest (jaarlijks extern)</t>
  </si>
  <si>
    <t xml:space="preserve">Onafhankelijke test door gecertificeerde partij om kwetsbaarheden te identificeren.</t>
  </si>
  <si>
    <t xml:space="preserve">ACC, GOV, DAT</t>
  </si>
  <si>
    <t xml:space="preserve">1–3 weken (planning)</t>
  </si>
  <si>
    <t xml:space="preserve">€3.000–€15.000</t>
  </si>
  <si>
    <t xml:space="preserve">Valideert effectiviteit maatregelen. Geaccepteerd NIS2-bewijs. W –1, I –1.</t>
  </si>
  <si>
    <t xml:space="preserve">M27</t>
  </si>
  <si>
    <t xml:space="preserve">Risicobeoordeling (jaarlijks herzien)</t>
  </si>
  <si>
    <t xml:space="preserve">Jaarlijkse review en update van het risicoregister op basis van dreigingslandschap.</t>
  </si>
  <si>
    <t xml:space="preserve">4–8 uur/jaar</t>
  </si>
  <si>
    <t xml:space="preserve">A.6.1.2</t>
  </si>
  <si>
    <t xml:space="preserve">Houdt risicoanalyse actueel. Verplicht onder NIS2. I –1 via betere controle.</t>
  </si>
  <si>
    <t xml:space="preserve">M28</t>
  </si>
  <si>
    <t xml:space="preserve">F</t>
  </si>
  <si>
    <t xml:space="preserve">Fysieke toegangscontrole serverruimte (badge + log)</t>
  </si>
  <si>
    <t xml:space="preserve">Elektronisch toegangscontrolesysteem met audit trail voor serverruimtes en datacenters.</t>
  </si>
  <si>
    <t xml:space="preserve">1–4 weken</t>
  </si>
  <si>
    <t xml:space="preserve">A.7.1, A.7.2, A.7.3</t>
  </si>
  <si>
    <t xml:space="preserve">Voorkomt ongeautoriseerde fysieke toegang. W –1, I –1 voor ACC/INS.</t>
  </si>
  <si>
    <t xml:space="preserve">M29</t>
  </si>
  <si>
    <t xml:space="preserve">Noodstroom (UPS + generator) voor kritieke systemen</t>
  </si>
  <si>
    <t xml:space="preserve">Ononderbroken stroomvoorziening voor servers, netwerk en OT-systemen.</t>
  </si>
  <si>
    <t xml:space="preserve">BCM</t>
  </si>
  <si>
    <t xml:space="preserve">2–8 weken</t>
  </si>
  <si>
    <t xml:space="preserve">€2.000–€50.000</t>
  </si>
  <si>
    <t xml:space="preserve">A.7.11, A.7.5</t>
  </si>
  <si>
    <t xml:space="preserve">Voorkomt data-/systeemschade bij stroomuitval. I –2 voor BCM risico's.</t>
  </si>
  <si>
    <t xml:space="preserve">M30</t>
  </si>
  <si>
    <t xml:space="preserve">Environmental monitoring (temperatuur + waterlekkage)</t>
  </si>
  <si>
    <t xml:space="preserve">Sensoren en alarmering voor temperatuur, vocht en lekkage in serverruimtes.</t>
  </si>
  <si>
    <t xml:space="preserve">€500–€5.000</t>
  </si>
  <si>
    <t xml:space="preserve">A.7.5, A.7.11</t>
  </si>
  <si>
    <t xml:space="preserve">Vroege detectie fysieke calamiteiten. I –1 voor BCM risico's.</t>
  </si>
  <si>
    <t xml:space="preserve">MKBTechGids NIS2 Beheersmaatregelkaart · 30 maatregelen · T=Technisch O=Organisatorisch F=Fysiek · ΔW/ΔI = score-reductie per maatregel · Fase 2 Instrument · mkbtechgids.nl</t>
  </si>
  <si>
    <t xml:space="preserve">NIS2 BEHEERSMAATREGELKAART — Gebruikswijzer &amp; Methodologie</t>
  </si>
  <si>
    <t xml:space="preserve">Instrument · Fase 2 Voorbereiding · Invulhulp Risicoregister kolom I</t>
  </si>
  <si>
    <t xml:space="preserve">30 maatregelen · NIS2 Art. 21(2) · ISO 27001:2022 · mkbtechgids.nl</t>
  </si>
  <si>
    <t xml:space="preserve">HOE GEBRUIKT U DEZE BEHEERSMAATREGELKAART?</t>
  </si>
  <si>
    <t xml:space="preserve">Stap 1</t>
  </si>
  <si>
    <t xml:space="preserve">Open het NIS2-Risicoregister naast deze kaart. Kijk welke risico's een hoge Inherent Score hebben.</t>
  </si>
  <si>
    <t xml:space="preserve">Stap 2</t>
  </si>
  <si>
    <t xml:space="preserve">Gebruik kolom E (Risicocategorieën) om maatregelen te vinden die relevant zijn voor uw dreigingstype.</t>
  </si>
  <si>
    <t xml:space="preserve">Stap 3</t>
  </si>
  <si>
    <t xml:space="preserve">Noteer de geselecteerde maatregel(en) in kolom I (Beheersmaatregelen) van het Risicoregister.</t>
  </si>
  <si>
    <t xml:space="preserve">Stap 4</t>
  </si>
  <si>
    <t xml:space="preserve">Pas uw "Uw W" en "Uw I" scores aan in het Risicoregister met de ΔW en ΔI waarden van deze kaart.</t>
  </si>
  <si>
    <t xml:space="preserve">Stap 5</t>
  </si>
  <si>
    <t xml:space="preserve">Gebruik kolom N (Eigen notities) voor uw implementatiestatus: Gepland / In uitvoering / Geïmplementeerd.</t>
  </si>
  <si>
    <t xml:space="preserve">Stap 6</t>
  </si>
  <si>
    <t xml:space="preserve">Houd rekening met de Implementatiemoeite: start met Laag-maatregelen voor snelle risicoreductie.</t>
  </si>
  <si>
    <t xml:space="preserve">Stap 7</t>
  </si>
  <si>
    <t xml:space="preserve">Bewaar ingevulde versie als bewijs voor toezichthouder (samen met Risicoregister en Module 2).</t>
  </si>
  <si>
    <t xml:space="preserve">SCORE-EFFECT UITLEG (ΔW / ΔI)</t>
  </si>
  <si>
    <t xml:space="preserve">ΔW = −2</t>
  </si>
  <si>
    <t xml:space="preserve">Verlaagt de Waarschijnlijkheidsscore met 2 punten. Bijv.: W=4 wordt W=2 na implementatie.</t>
  </si>
  <si>
    <t xml:space="preserve">ΔW = −1</t>
  </si>
  <si>
    <t xml:space="preserve">Verlaagt de Waarschijnlijkheidsscore met 1 punt. Bijv.: W=5 wordt W=4.</t>
  </si>
  <si>
    <t xml:space="preserve">ΔI = −2</t>
  </si>
  <si>
    <t xml:space="preserve">Verlaagt de Impactscore met 2 punten. Bijv.: I=5 wordt I=3 na implementatie.</t>
  </si>
  <si>
    <t xml:space="preserve">ΔI = −1</t>
  </si>
  <si>
    <t xml:space="preserve">Verlaagt de Impactscore met 1 punt. Bijv.: I=4 wordt I=3.</t>
  </si>
  <si>
    <t xml:space="preserve">ΔW = 0, ΔI = 0</t>
  </si>
  <si>
    <t xml:space="preserve">Maatregel verbetert compliance/governance maar heeft geen directe invloed op W of I score.</t>
  </si>
  <si>
    <t xml:space="preserve">Cumulatief effect</t>
  </si>
  <si>
    <t xml:space="preserve">Meerdere maatregelen combineren. Bijv. MFA (ΔW –2) + EDR (ΔW –1) = totaal ΔW –3 voor ACC.</t>
  </si>
  <si>
    <t xml:space="preserve">Minimum score</t>
  </si>
  <si>
    <t xml:space="preserve">W en I kunnen niet onder 1 komen. Score 1×1 = Laag is de minimale residuele score.</t>
  </si>
  <si>
    <t xml:space="preserve">SNELLE WINS — START HIER (Laag implementatiemoeite)</t>
  </si>
  <si>
    <t xml:space="preserve">M01 — MFA</t>
  </si>
  <si>
    <t xml:space="preserve">ΔW –2 voor ACC-risico's. Gratis of goedkoop. Sterkste ROI van alle maatregelen.</t>
  </si>
  <si>
    <t xml:space="preserve">M03 — Patch management</t>
  </si>
  <si>
    <t xml:space="preserve">ΔW –2 voor GOV. Alleen een proces nodig. Geen tooling vereist.</t>
  </si>
  <si>
    <t xml:space="preserve">M06 — Backup 3-2-1</t>
  </si>
  <si>
    <t xml:space="preserve">ΔI –2 voor MAL/BCM. Maakt ransomware beheersbaar. Relatief laag budget.</t>
  </si>
  <si>
    <t xml:space="preserve">M07 — DMARC/DKIM/SPF</t>
  </si>
  <si>
    <t xml:space="preserve">ΔW –1 voor SOC. 4–8 uur implementatie. Gratis. Blokkeert e-mail spoofing.</t>
  </si>
  <si>
    <t xml:space="preserve">M19 — Security training</t>
  </si>
  <si>
    <t xml:space="preserve">ΔW –1 voor SOC/INS. Jaarlijks. Verlaagt phishing-klikpercentage dramatisch.</t>
  </si>
  <si>
    <t xml:space="preserve">M22 — Access review</t>
  </si>
  <si>
    <t xml:space="preserve">ΔW –1 voor ACC/INS. 4–8 uur per kwartaal. Gratis. Detecteert rechten-drift.</t>
  </si>
  <si>
    <t xml:space="preserve">M25 — Security policy</t>
  </si>
  <si>
    <t xml:space="preserve">ΔI –1. Documentatie. Vereist door NIS2 toezichthouder. Geen directe kosten.</t>
  </si>
  <si>
    <t xml:space="preserve">MKBTechGids  ·  NIS2 Compliance Toolkit  ·  KVK 27348456  ·  BTW NL004968309B61  ·  mkbtechgids.nl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</si>
</sst>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2"/>
      <charset val="1"/>
    </font>
    <font>
      <i val="true"/>
      <sz val="9"/>
      <color rgb="FF9CA3AF"/>
      <name val="Calibri"/>
      <family val="2"/>
      <charset val="1"/>
    </font>
    <font>
      <i val="true"/>
      <sz val="9"/>
      <color rgb="FF1D4ED8"/>
      <name val="Calibri"/>
      <family val="2"/>
      <charset val="1"/>
    </font>
    <font>
      <sz val="9"/>
      <color rgb="FF6B7280"/>
      <name val="Calibri"/>
      <family val="2"/>
      <charset val="1"/>
    </font>
    <font>
      <b val="true"/>
      <sz val="10"/>
      <color rgb="FF713F12"/>
      <name val="Calibri"/>
      <family val="2"/>
      <charset val="1"/>
    </font>
    <font>
      <b val="true"/>
      <sz val="11"/>
      <color rgb="FF374151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8"/>
      <color rgb="FF14532D"/>
      <name val="Calibri"/>
      <family val="2"/>
      <charset val="1"/>
    </font>
    <font>
      <b val="true"/>
      <sz val="8"/>
      <color rgb="FF713F12"/>
      <name val="Calibri"/>
      <family val="2"/>
      <charset val="1"/>
    </font>
    <font>
      <sz val="9"/>
      <color rgb="FF9CA3AF"/>
      <name val="Calibri"/>
      <family val="2"/>
      <charset val="1"/>
    </font>
    <font>
      <sz val="11"/>
      <color rgb="FF374151"/>
      <name val="Calibri"/>
      <family val="2"/>
      <charset val="1"/>
    </font>
    <font>
      <sz val="9"/>
      <color rgb="FF374151"/>
      <name val="Calibri"/>
      <family val="2"/>
      <charset val="1"/>
    </font>
    <font>
      <b val="true"/>
      <sz val="11"/>
      <color rgb="FF15803D"/>
      <name val="Calibri"/>
      <family val="2"/>
      <charset val="1"/>
    </font>
    <font>
      <sz val="11"/>
      <color rgb="FF6B7280"/>
      <name val="Calibri"/>
      <family val="2"/>
      <charset val="1"/>
    </font>
    <font>
      <b val="true"/>
      <sz val="9"/>
      <color rgb="FF15803D"/>
      <name val="Calibri"/>
      <family val="2"/>
      <charset val="1"/>
    </font>
    <font>
      <sz val="8"/>
      <color rgb="FF1D4ED8"/>
      <name val="Calibri"/>
      <family val="2"/>
      <charset val="1"/>
    </font>
    <font>
      <i val="true"/>
      <sz val="9"/>
      <color rgb="FF6B7280"/>
      <name val="Calibri"/>
      <family val="2"/>
      <charset val="1"/>
    </font>
    <font>
      <b val="true"/>
      <sz val="9"/>
      <color rgb="FFD97706"/>
      <name val="Calibri"/>
      <family val="2"/>
      <charset val="1"/>
    </font>
    <font>
      <b val="true"/>
      <sz val="9"/>
      <color rgb="FFDC2626"/>
      <name val="Calibri"/>
      <family val="2"/>
      <charset val="1"/>
    </font>
    <font>
      <i val="true"/>
      <sz val="8"/>
      <color rgb="FF9CA3AF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10"/>
      <color rgb="FF374151"/>
      <name val="Calibri"/>
      <family val="2"/>
      <charset val="1"/>
    </font>
    <font>
      <b val="true"/>
      <sz val="10"/>
      <color rgb="FF1C1C2E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1C1C2E"/>
        <bgColor rgb="FF000000"/>
      </patternFill>
    </fill>
    <fill>
      <patternFill patternType="solid">
        <fgColor rgb="FFEFF6FF"/>
        <bgColor rgb="FFEEF5FF"/>
      </patternFill>
    </fill>
    <fill>
      <patternFill patternType="solid">
        <fgColor rgb="FFF5F5F5"/>
        <bgColor rgb="FFEFF6FF"/>
      </patternFill>
    </fill>
    <fill>
      <patternFill patternType="solid">
        <fgColor rgb="FFFFF9C4"/>
        <bgColor rgb="FFFEF3C7"/>
      </patternFill>
    </fill>
    <fill>
      <patternFill patternType="solid">
        <fgColor rgb="FF374151"/>
        <bgColor rgb="FF1E3A6E"/>
      </patternFill>
    </fill>
    <fill>
      <patternFill patternType="solid">
        <fgColor rgb="FFDCFCE7"/>
        <bgColor rgb="FFE8F5EE"/>
      </patternFill>
    </fill>
    <fill>
      <patternFill patternType="solid">
        <fgColor rgb="FFDBEAFE"/>
        <bgColor rgb="FFE5E7EB"/>
      </patternFill>
    </fill>
    <fill>
      <patternFill patternType="solid">
        <fgColor rgb="FF1E3A6E"/>
        <bgColor rgb="FF374151"/>
      </patternFill>
    </fill>
    <fill>
      <patternFill patternType="solid">
        <fgColor rgb="FFF9FAFB"/>
        <bgColor rgb="FFF5F5F5"/>
      </patternFill>
    </fill>
    <fill>
      <patternFill patternType="solid">
        <fgColor rgb="FFFFFBEB"/>
        <bgColor rgb="FFFEF5E7"/>
      </patternFill>
    </fill>
    <fill>
      <patternFill patternType="solid">
        <fgColor rgb="FFEEF5FF"/>
        <bgColor rgb="FFEFF6FF"/>
      </patternFill>
    </fill>
    <fill>
      <patternFill patternType="solid">
        <fgColor rgb="FFFEF2F2"/>
        <bgColor rgb="FFFEF5E7"/>
      </patternFill>
    </fill>
    <fill>
      <patternFill patternType="solid">
        <fgColor rgb="FF14532D"/>
        <bgColor rgb="FF374151"/>
      </patternFill>
    </fill>
    <fill>
      <patternFill patternType="solid">
        <fgColor rgb="FFE8F5EE"/>
        <bgColor rgb="FFEEF5FF"/>
      </patternFill>
    </fill>
    <fill>
      <patternFill patternType="solid">
        <fgColor rgb="FFFEF5E7"/>
        <bgColor rgb="FFFEF2F2"/>
      </patternFill>
    </fill>
    <fill>
      <patternFill patternType="solid">
        <fgColor rgb="FF92400E"/>
        <bgColor rgb="FF713F12"/>
      </patternFill>
    </fill>
    <fill>
      <patternFill patternType="solid">
        <fgColor rgb="FFFEF3C7"/>
        <bgColor rgb="FFFFF9C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EF5E7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E5E7EB"/>
      <rgbColor rgb="FF808080"/>
      <rgbColor rgb="FFF5F5F5"/>
      <rgbColor rgb="FF713F12"/>
      <rgbColor rgb="FFFFF9C4"/>
      <rgbColor rgb="FFDCFCE7"/>
      <rgbColor rgb="FF660066"/>
      <rgbColor rgb="FFFF8080"/>
      <rgbColor rgb="FF1D4ED8"/>
      <rgbColor rgb="FFBFDBFE"/>
      <rgbColor rgb="FF000080"/>
      <rgbColor rgb="FFFF00FF"/>
      <rgbColor rgb="FFFFFBEB"/>
      <rgbColor rgb="FF00FFFF"/>
      <rgbColor rgb="FF800080"/>
      <rgbColor rgb="FF800000"/>
      <rgbColor rgb="FF008080"/>
      <rgbColor rgb="FF0000FF"/>
      <rgbColor rgb="FF00CCFF"/>
      <rgbColor rgb="FFE8F5EE"/>
      <rgbColor rgb="FFDBEAFE"/>
      <rgbColor rgb="FFFEF3C7"/>
      <rgbColor rgb="FFEEF5FF"/>
      <rgbColor rgb="FFFEF2F2"/>
      <rgbColor rgb="FFEFF6FF"/>
      <rgbColor rgb="FFFDE68A"/>
      <rgbColor rgb="FF3366FF"/>
      <rgbColor rgb="FF33CCCC"/>
      <rgbColor rgb="FF99CC00"/>
      <rgbColor rgb="FFF9FAFB"/>
      <rgbColor rgb="FFFF9900"/>
      <rgbColor rgb="FFD97706"/>
      <rgbColor rgb="FF6B7280"/>
      <rgbColor rgb="FF9CA3AF"/>
      <rgbColor rgb="FF1E3A6E"/>
      <rgbColor rgb="FF339966"/>
      <rgbColor rgb="FF14532D"/>
      <rgbColor rgb="FF1C1C2E"/>
      <rgbColor rgb="FF92400E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10.71"/>
    <col collapsed="false" customWidth="true" hidden="false" outlineLevel="0" max="3" min="3" style="0" width="26.71"/>
    <col collapsed="false" customWidth="true" hidden="false" outlineLevel="0" max="4" min="4" style="0" width="34.71"/>
    <col collapsed="false" customWidth="true" hidden="false" outlineLevel="0" max="5" min="5" style="0" width="22.71"/>
    <col collapsed="false" customWidth="true" hidden="false" outlineLevel="0" max="7" min="6" style="0" width="7.71"/>
    <col collapsed="false" customWidth="true" hidden="false" outlineLevel="0" max="8" min="8" style="0" width="12.71"/>
    <col collapsed="false" customWidth="true" hidden="false" outlineLevel="0" max="11" min="9" style="0" width="14.71"/>
    <col collapsed="false" customWidth="true" hidden="false" outlineLevel="0" max="12" min="12" style="0" width="18.71"/>
    <col collapsed="false" customWidth="true" hidden="false" outlineLevel="0" max="13" min="13" style="0" width="30.71"/>
    <col collapsed="false" customWidth="true" hidden="false" outlineLevel="0" max="14" min="14" style="0" width="18.71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</row>
    <row r="2" customFormat="false" ht="19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8" hidden="false" customHeight="true" outlineLevel="0" collapsed="false">
      <c r="A3" s="4" t="s">
        <v>3</v>
      </c>
      <c r="B3" s="5" t="s">
        <v>4</v>
      </c>
      <c r="C3" s="5"/>
      <c r="D3" s="5"/>
      <c r="E3" s="4" t="s">
        <v>5</v>
      </c>
      <c r="F3" s="5" t="s">
        <v>6</v>
      </c>
      <c r="G3" s="5"/>
      <c r="H3" s="5"/>
      <c r="I3" s="4" t="s">
        <v>7</v>
      </c>
      <c r="J3" s="6" t="n">
        <f aca="false">COUNTIF(B5:B34,"T")</f>
        <v>18</v>
      </c>
      <c r="K3" s="4" t="s">
        <v>8</v>
      </c>
      <c r="L3" s="6" t="n">
        <f aca="false">COUNTIF(B5:B34,"O")</f>
        <v>9</v>
      </c>
      <c r="M3" s="4" t="s">
        <v>9</v>
      </c>
      <c r="N3" s="6" t="n">
        <f aca="false">COUNTIF(B5:B34,"F")</f>
        <v>3</v>
      </c>
    </row>
    <row r="4" customFormat="false" ht="37.5" hidden="false" customHeight="true" outlineLevel="0" collapsed="false">
      <c r="A4" s="7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8" t="s">
        <v>15</v>
      </c>
      <c r="G4" s="8" t="s">
        <v>16</v>
      </c>
      <c r="H4" s="7" t="s">
        <v>17</v>
      </c>
      <c r="I4" s="7" t="s">
        <v>18</v>
      </c>
      <c r="J4" s="7" t="s">
        <v>19</v>
      </c>
      <c r="K4" s="7" t="s">
        <v>20</v>
      </c>
      <c r="L4" s="7" t="s">
        <v>21</v>
      </c>
      <c r="M4" s="7" t="s">
        <v>22</v>
      </c>
      <c r="N4" s="9" t="s">
        <v>23</v>
      </c>
    </row>
    <row r="5" customFormat="false" ht="42" hidden="false" customHeight="true" outlineLevel="0" collapsed="false">
      <c r="A5" s="10" t="s">
        <v>24</v>
      </c>
      <c r="B5" s="11" t="s">
        <v>25</v>
      </c>
      <c r="C5" s="12" t="s">
        <v>26</v>
      </c>
      <c r="D5" s="13" t="s">
        <v>27</v>
      </c>
      <c r="E5" s="13" t="s">
        <v>28</v>
      </c>
      <c r="F5" s="14" t="s">
        <v>29</v>
      </c>
      <c r="G5" s="15" t="s">
        <v>30</v>
      </c>
      <c r="H5" s="16" t="s">
        <v>31</v>
      </c>
      <c r="I5" s="13" t="s">
        <v>32</v>
      </c>
      <c r="J5" s="13" t="s">
        <v>33</v>
      </c>
      <c r="K5" s="17" t="s">
        <v>34</v>
      </c>
      <c r="L5" s="17" t="s">
        <v>35</v>
      </c>
      <c r="M5" s="18" t="s">
        <v>36</v>
      </c>
      <c r="N5" s="19"/>
    </row>
    <row r="6" customFormat="false" ht="42" hidden="false" customHeight="true" outlineLevel="0" collapsed="false">
      <c r="A6" s="20" t="s">
        <v>37</v>
      </c>
      <c r="B6" s="11" t="s">
        <v>25</v>
      </c>
      <c r="C6" s="21" t="s">
        <v>38</v>
      </c>
      <c r="D6" s="22" t="s">
        <v>39</v>
      </c>
      <c r="E6" s="22" t="s">
        <v>40</v>
      </c>
      <c r="F6" s="14" t="s">
        <v>41</v>
      </c>
      <c r="G6" s="14" t="s">
        <v>41</v>
      </c>
      <c r="H6" s="23" t="s">
        <v>42</v>
      </c>
      <c r="I6" s="22" t="s">
        <v>43</v>
      </c>
      <c r="J6" s="22" t="s">
        <v>44</v>
      </c>
      <c r="K6" s="17" t="s">
        <v>45</v>
      </c>
      <c r="L6" s="17" t="s">
        <v>46</v>
      </c>
      <c r="M6" s="24" t="s">
        <v>47</v>
      </c>
      <c r="N6" s="19"/>
    </row>
    <row r="7" customFormat="false" ht="42" hidden="false" customHeight="true" outlineLevel="0" collapsed="false">
      <c r="A7" s="10" t="s">
        <v>48</v>
      </c>
      <c r="B7" s="11" t="s">
        <v>25</v>
      </c>
      <c r="C7" s="12" t="s">
        <v>49</v>
      </c>
      <c r="D7" s="13" t="s">
        <v>50</v>
      </c>
      <c r="E7" s="13" t="s">
        <v>51</v>
      </c>
      <c r="F7" s="14" t="s">
        <v>29</v>
      </c>
      <c r="G7" s="15" t="s">
        <v>30</v>
      </c>
      <c r="H7" s="23" t="s">
        <v>42</v>
      </c>
      <c r="I7" s="13" t="s">
        <v>52</v>
      </c>
      <c r="J7" s="13" t="s">
        <v>53</v>
      </c>
      <c r="K7" s="17" t="s">
        <v>54</v>
      </c>
      <c r="L7" s="17" t="s">
        <v>55</v>
      </c>
      <c r="M7" s="18" t="s">
        <v>56</v>
      </c>
      <c r="N7" s="19"/>
    </row>
    <row r="8" customFormat="false" ht="42" hidden="false" customHeight="true" outlineLevel="0" collapsed="false">
      <c r="A8" s="20" t="s">
        <v>57</v>
      </c>
      <c r="B8" s="11" t="s">
        <v>25</v>
      </c>
      <c r="C8" s="21" t="s">
        <v>58</v>
      </c>
      <c r="D8" s="22" t="s">
        <v>59</v>
      </c>
      <c r="E8" s="22" t="s">
        <v>60</v>
      </c>
      <c r="F8" s="15" t="s">
        <v>30</v>
      </c>
      <c r="G8" s="14" t="s">
        <v>29</v>
      </c>
      <c r="H8" s="25" t="s">
        <v>61</v>
      </c>
      <c r="I8" s="22" t="s">
        <v>62</v>
      </c>
      <c r="J8" s="22" t="s">
        <v>63</v>
      </c>
      <c r="K8" s="17" t="s">
        <v>54</v>
      </c>
      <c r="L8" s="17" t="s">
        <v>64</v>
      </c>
      <c r="M8" s="24" t="s">
        <v>65</v>
      </c>
      <c r="N8" s="19"/>
    </row>
    <row r="9" customFormat="false" ht="42" hidden="false" customHeight="true" outlineLevel="0" collapsed="false">
      <c r="A9" s="10" t="s">
        <v>66</v>
      </c>
      <c r="B9" s="11" t="s">
        <v>25</v>
      </c>
      <c r="C9" s="12" t="s">
        <v>67</v>
      </c>
      <c r="D9" s="13" t="s">
        <v>68</v>
      </c>
      <c r="E9" s="13" t="s">
        <v>69</v>
      </c>
      <c r="F9" s="15" t="s">
        <v>30</v>
      </c>
      <c r="G9" s="14" t="s">
        <v>41</v>
      </c>
      <c r="H9" s="25" t="s">
        <v>61</v>
      </c>
      <c r="I9" s="13" t="s">
        <v>70</v>
      </c>
      <c r="J9" s="13" t="s">
        <v>71</v>
      </c>
      <c r="K9" s="17" t="s">
        <v>72</v>
      </c>
      <c r="L9" s="17" t="s">
        <v>73</v>
      </c>
      <c r="M9" s="18" t="s">
        <v>74</v>
      </c>
      <c r="N9" s="19"/>
    </row>
    <row r="10" customFormat="false" ht="42" hidden="false" customHeight="true" outlineLevel="0" collapsed="false">
      <c r="A10" s="20" t="s">
        <v>75</v>
      </c>
      <c r="B10" s="11" t="s">
        <v>25</v>
      </c>
      <c r="C10" s="21" t="s">
        <v>76</v>
      </c>
      <c r="D10" s="22" t="s">
        <v>77</v>
      </c>
      <c r="E10" s="22" t="s">
        <v>78</v>
      </c>
      <c r="F10" s="15" t="s">
        <v>30</v>
      </c>
      <c r="G10" s="14" t="s">
        <v>29</v>
      </c>
      <c r="H10" s="16" t="s">
        <v>31</v>
      </c>
      <c r="I10" s="22" t="s">
        <v>79</v>
      </c>
      <c r="J10" s="22" t="s">
        <v>80</v>
      </c>
      <c r="K10" s="17" t="s">
        <v>81</v>
      </c>
      <c r="L10" s="17" t="s">
        <v>82</v>
      </c>
      <c r="M10" s="24" t="s">
        <v>83</v>
      </c>
      <c r="N10" s="19"/>
    </row>
    <row r="11" customFormat="false" ht="42" hidden="false" customHeight="true" outlineLevel="0" collapsed="false">
      <c r="A11" s="10" t="s">
        <v>84</v>
      </c>
      <c r="B11" s="11" t="s">
        <v>25</v>
      </c>
      <c r="C11" s="12" t="s">
        <v>85</v>
      </c>
      <c r="D11" s="13" t="s">
        <v>86</v>
      </c>
      <c r="E11" s="13" t="s">
        <v>87</v>
      </c>
      <c r="F11" s="14" t="s">
        <v>41</v>
      </c>
      <c r="G11" s="15" t="s">
        <v>30</v>
      </c>
      <c r="H11" s="16" t="s">
        <v>31</v>
      </c>
      <c r="I11" s="13" t="s">
        <v>88</v>
      </c>
      <c r="J11" s="13" t="s">
        <v>89</v>
      </c>
      <c r="K11" s="17" t="s">
        <v>54</v>
      </c>
      <c r="L11" s="17" t="s">
        <v>90</v>
      </c>
      <c r="M11" s="18" t="s">
        <v>91</v>
      </c>
      <c r="N11" s="19"/>
    </row>
    <row r="12" customFormat="false" ht="42" hidden="false" customHeight="true" outlineLevel="0" collapsed="false">
      <c r="A12" s="20" t="s">
        <v>92</v>
      </c>
      <c r="B12" s="11" t="s">
        <v>25</v>
      </c>
      <c r="C12" s="21" t="s">
        <v>93</v>
      </c>
      <c r="D12" s="22" t="s">
        <v>94</v>
      </c>
      <c r="E12" s="22" t="s">
        <v>95</v>
      </c>
      <c r="F12" s="14" t="s">
        <v>41</v>
      </c>
      <c r="G12" s="14" t="s">
        <v>41</v>
      </c>
      <c r="H12" s="23" t="s">
        <v>42</v>
      </c>
      <c r="I12" s="22" t="s">
        <v>96</v>
      </c>
      <c r="J12" s="22" t="s">
        <v>97</v>
      </c>
      <c r="K12" s="17" t="s">
        <v>54</v>
      </c>
      <c r="L12" s="17" t="s">
        <v>98</v>
      </c>
      <c r="M12" s="24" t="s">
        <v>99</v>
      </c>
      <c r="N12" s="19"/>
    </row>
    <row r="13" customFormat="false" ht="42" hidden="false" customHeight="true" outlineLevel="0" collapsed="false">
      <c r="A13" s="10" t="s">
        <v>100</v>
      </c>
      <c r="B13" s="11" t="s">
        <v>25</v>
      </c>
      <c r="C13" s="12" t="s">
        <v>101</v>
      </c>
      <c r="D13" s="13" t="s">
        <v>102</v>
      </c>
      <c r="E13" s="13" t="s">
        <v>103</v>
      </c>
      <c r="F13" s="14" t="s">
        <v>29</v>
      </c>
      <c r="G13" s="14" t="s">
        <v>41</v>
      </c>
      <c r="H13" s="23" t="s">
        <v>42</v>
      </c>
      <c r="I13" s="13" t="s">
        <v>96</v>
      </c>
      <c r="J13" s="13" t="s">
        <v>104</v>
      </c>
      <c r="K13" s="17" t="s">
        <v>54</v>
      </c>
      <c r="L13" s="17" t="s">
        <v>105</v>
      </c>
      <c r="M13" s="18" t="s">
        <v>106</v>
      </c>
      <c r="N13" s="19"/>
    </row>
    <row r="14" customFormat="false" ht="42" hidden="false" customHeight="true" outlineLevel="0" collapsed="false">
      <c r="A14" s="20" t="s">
        <v>107</v>
      </c>
      <c r="B14" s="11" t="s">
        <v>25</v>
      </c>
      <c r="C14" s="21" t="s">
        <v>108</v>
      </c>
      <c r="D14" s="22" t="s">
        <v>109</v>
      </c>
      <c r="E14" s="22" t="s">
        <v>110</v>
      </c>
      <c r="F14" s="15" t="s">
        <v>30</v>
      </c>
      <c r="G14" s="14" t="s">
        <v>41</v>
      </c>
      <c r="H14" s="23" t="s">
        <v>42</v>
      </c>
      <c r="I14" s="22" t="s">
        <v>43</v>
      </c>
      <c r="J14" s="22" t="s">
        <v>111</v>
      </c>
      <c r="K14" s="17" t="s">
        <v>112</v>
      </c>
      <c r="L14" s="17" t="s">
        <v>113</v>
      </c>
      <c r="M14" s="24" t="s">
        <v>114</v>
      </c>
      <c r="N14" s="19"/>
    </row>
    <row r="15" customFormat="false" ht="42" hidden="false" customHeight="true" outlineLevel="0" collapsed="false">
      <c r="A15" s="10" t="s">
        <v>115</v>
      </c>
      <c r="B15" s="11" t="s">
        <v>25</v>
      </c>
      <c r="C15" s="12" t="s">
        <v>116</v>
      </c>
      <c r="D15" s="13" t="s">
        <v>117</v>
      </c>
      <c r="E15" s="13" t="s">
        <v>118</v>
      </c>
      <c r="F15" s="14" t="s">
        <v>41</v>
      </c>
      <c r="G15" s="14" t="s">
        <v>41</v>
      </c>
      <c r="H15" s="25" t="s">
        <v>61</v>
      </c>
      <c r="I15" s="13" t="s">
        <v>119</v>
      </c>
      <c r="J15" s="13" t="s">
        <v>120</v>
      </c>
      <c r="K15" s="17" t="s">
        <v>121</v>
      </c>
      <c r="L15" s="17" t="s">
        <v>122</v>
      </c>
      <c r="M15" s="18" t="s">
        <v>123</v>
      </c>
      <c r="N15" s="19"/>
    </row>
    <row r="16" customFormat="false" ht="42" hidden="false" customHeight="true" outlineLevel="0" collapsed="false">
      <c r="A16" s="20" t="s">
        <v>124</v>
      </c>
      <c r="B16" s="11" t="s">
        <v>25</v>
      </c>
      <c r="C16" s="21" t="s">
        <v>125</v>
      </c>
      <c r="D16" s="22" t="s">
        <v>126</v>
      </c>
      <c r="E16" s="22" t="s">
        <v>51</v>
      </c>
      <c r="F16" s="14" t="s">
        <v>41</v>
      </c>
      <c r="G16" s="15" t="s">
        <v>30</v>
      </c>
      <c r="H16" s="16" t="s">
        <v>31</v>
      </c>
      <c r="I16" s="22" t="s">
        <v>127</v>
      </c>
      <c r="J16" s="22" t="s">
        <v>128</v>
      </c>
      <c r="K16" s="17" t="s">
        <v>54</v>
      </c>
      <c r="L16" s="17" t="s">
        <v>55</v>
      </c>
      <c r="M16" s="24" t="s">
        <v>129</v>
      </c>
      <c r="N16" s="19"/>
    </row>
    <row r="17" customFormat="false" ht="42" hidden="false" customHeight="true" outlineLevel="0" collapsed="false">
      <c r="A17" s="10" t="s">
        <v>130</v>
      </c>
      <c r="B17" s="11" t="s">
        <v>25</v>
      </c>
      <c r="C17" s="12" t="s">
        <v>131</v>
      </c>
      <c r="D17" s="13" t="s">
        <v>132</v>
      </c>
      <c r="E17" s="13" t="s">
        <v>118</v>
      </c>
      <c r="F17" s="14" t="s">
        <v>29</v>
      </c>
      <c r="G17" s="14" t="s">
        <v>41</v>
      </c>
      <c r="H17" s="25" t="s">
        <v>61</v>
      </c>
      <c r="I17" s="13" t="s">
        <v>133</v>
      </c>
      <c r="J17" s="13" t="s">
        <v>134</v>
      </c>
      <c r="K17" s="17" t="s">
        <v>135</v>
      </c>
      <c r="L17" s="17" t="s">
        <v>136</v>
      </c>
      <c r="M17" s="18" t="s">
        <v>137</v>
      </c>
      <c r="N17" s="19"/>
    </row>
    <row r="18" customFormat="false" ht="42" hidden="false" customHeight="true" outlineLevel="0" collapsed="false">
      <c r="A18" s="20" t="s">
        <v>138</v>
      </c>
      <c r="B18" s="11" t="s">
        <v>25</v>
      </c>
      <c r="C18" s="21" t="s">
        <v>139</v>
      </c>
      <c r="D18" s="22" t="s">
        <v>140</v>
      </c>
      <c r="E18" s="22" t="s">
        <v>110</v>
      </c>
      <c r="F18" s="14" t="s">
        <v>41</v>
      </c>
      <c r="G18" s="14" t="s">
        <v>41</v>
      </c>
      <c r="H18" s="23" t="s">
        <v>42</v>
      </c>
      <c r="I18" s="22" t="s">
        <v>43</v>
      </c>
      <c r="J18" s="22" t="s">
        <v>141</v>
      </c>
      <c r="K18" s="17" t="s">
        <v>54</v>
      </c>
      <c r="L18" s="17" t="s">
        <v>142</v>
      </c>
      <c r="M18" s="24" t="s">
        <v>143</v>
      </c>
      <c r="N18" s="19"/>
    </row>
    <row r="19" customFormat="false" ht="42" hidden="false" customHeight="true" outlineLevel="0" collapsed="false">
      <c r="A19" s="10" t="s">
        <v>144</v>
      </c>
      <c r="B19" s="11" t="s">
        <v>25</v>
      </c>
      <c r="C19" s="12" t="s">
        <v>145</v>
      </c>
      <c r="D19" s="13" t="s">
        <v>146</v>
      </c>
      <c r="E19" s="13" t="s">
        <v>147</v>
      </c>
      <c r="F19" s="14" t="s">
        <v>41</v>
      </c>
      <c r="G19" s="15" t="s">
        <v>30</v>
      </c>
      <c r="H19" s="16" t="s">
        <v>31</v>
      </c>
      <c r="I19" s="13" t="s">
        <v>88</v>
      </c>
      <c r="J19" s="13" t="s">
        <v>148</v>
      </c>
      <c r="K19" s="17" t="s">
        <v>54</v>
      </c>
      <c r="L19" s="17" t="s">
        <v>149</v>
      </c>
      <c r="M19" s="18" t="s">
        <v>150</v>
      </c>
      <c r="N19" s="19"/>
    </row>
    <row r="20" customFormat="false" ht="42" hidden="false" customHeight="true" outlineLevel="0" collapsed="false">
      <c r="A20" s="20" t="s">
        <v>151</v>
      </c>
      <c r="B20" s="11" t="s">
        <v>25</v>
      </c>
      <c r="C20" s="21" t="s">
        <v>152</v>
      </c>
      <c r="D20" s="22" t="s">
        <v>153</v>
      </c>
      <c r="E20" s="22" t="s">
        <v>154</v>
      </c>
      <c r="F20" s="14" t="s">
        <v>41</v>
      </c>
      <c r="G20" s="14" t="s">
        <v>29</v>
      </c>
      <c r="H20" s="25" t="s">
        <v>61</v>
      </c>
      <c r="I20" s="22" t="s">
        <v>70</v>
      </c>
      <c r="J20" s="22" t="s">
        <v>134</v>
      </c>
      <c r="K20" s="17" t="s">
        <v>54</v>
      </c>
      <c r="L20" s="17" t="s">
        <v>155</v>
      </c>
      <c r="M20" s="24" t="s">
        <v>156</v>
      </c>
      <c r="N20" s="19"/>
    </row>
    <row r="21" customFormat="false" ht="42" hidden="false" customHeight="true" outlineLevel="0" collapsed="false">
      <c r="A21" s="10" t="s">
        <v>157</v>
      </c>
      <c r="B21" s="11" t="s">
        <v>25</v>
      </c>
      <c r="C21" s="12" t="s">
        <v>158</v>
      </c>
      <c r="D21" s="13" t="s">
        <v>159</v>
      </c>
      <c r="E21" s="13" t="s">
        <v>160</v>
      </c>
      <c r="F21" s="14" t="s">
        <v>41</v>
      </c>
      <c r="G21" s="15" t="s">
        <v>30</v>
      </c>
      <c r="H21" s="23" t="s">
        <v>42</v>
      </c>
      <c r="I21" s="13" t="s">
        <v>43</v>
      </c>
      <c r="J21" s="13" t="s">
        <v>161</v>
      </c>
      <c r="K21" s="17" t="s">
        <v>162</v>
      </c>
      <c r="L21" s="17" t="s">
        <v>163</v>
      </c>
      <c r="M21" s="18" t="s">
        <v>164</v>
      </c>
      <c r="N21" s="19"/>
    </row>
    <row r="22" customFormat="false" ht="42" hidden="false" customHeight="true" outlineLevel="0" collapsed="false">
      <c r="A22" s="20" t="s">
        <v>165</v>
      </c>
      <c r="B22" s="11" t="s">
        <v>25</v>
      </c>
      <c r="C22" s="21" t="s">
        <v>166</v>
      </c>
      <c r="D22" s="22" t="s">
        <v>167</v>
      </c>
      <c r="E22" s="22" t="s">
        <v>168</v>
      </c>
      <c r="F22" s="15" t="s">
        <v>30</v>
      </c>
      <c r="G22" s="14" t="s">
        <v>41</v>
      </c>
      <c r="H22" s="25" t="s">
        <v>61</v>
      </c>
      <c r="I22" s="22" t="s">
        <v>70</v>
      </c>
      <c r="J22" s="22" t="s">
        <v>120</v>
      </c>
      <c r="K22" s="17" t="s">
        <v>54</v>
      </c>
      <c r="L22" s="17" t="s">
        <v>169</v>
      </c>
      <c r="M22" s="24" t="s">
        <v>170</v>
      </c>
      <c r="N22" s="19"/>
    </row>
    <row r="23" customFormat="false" ht="42" hidden="false" customHeight="true" outlineLevel="0" collapsed="false">
      <c r="A23" s="26" t="s">
        <v>171</v>
      </c>
      <c r="B23" s="27" t="s">
        <v>172</v>
      </c>
      <c r="C23" s="28" t="s">
        <v>173</v>
      </c>
      <c r="D23" s="29" t="s">
        <v>174</v>
      </c>
      <c r="E23" s="29" t="s">
        <v>175</v>
      </c>
      <c r="F23" s="14" t="s">
        <v>41</v>
      </c>
      <c r="G23" s="15" t="s">
        <v>30</v>
      </c>
      <c r="H23" s="16" t="s">
        <v>31</v>
      </c>
      <c r="I23" s="29" t="s">
        <v>176</v>
      </c>
      <c r="J23" s="29" t="s">
        <v>97</v>
      </c>
      <c r="K23" s="17" t="s">
        <v>177</v>
      </c>
      <c r="L23" s="17" t="s">
        <v>178</v>
      </c>
      <c r="M23" s="30" t="s">
        <v>179</v>
      </c>
      <c r="N23" s="19"/>
    </row>
    <row r="24" customFormat="false" ht="42" hidden="false" customHeight="true" outlineLevel="0" collapsed="false">
      <c r="A24" s="31" t="s">
        <v>180</v>
      </c>
      <c r="B24" s="27" t="s">
        <v>172</v>
      </c>
      <c r="C24" s="32" t="s">
        <v>181</v>
      </c>
      <c r="D24" s="33" t="s">
        <v>182</v>
      </c>
      <c r="E24" s="33" t="s">
        <v>183</v>
      </c>
      <c r="F24" s="15" t="s">
        <v>30</v>
      </c>
      <c r="G24" s="14" t="s">
        <v>41</v>
      </c>
      <c r="H24" s="16" t="s">
        <v>31</v>
      </c>
      <c r="I24" s="33" t="s">
        <v>184</v>
      </c>
      <c r="J24" s="33" t="s">
        <v>185</v>
      </c>
      <c r="K24" s="17" t="s">
        <v>186</v>
      </c>
      <c r="L24" s="17" t="s">
        <v>187</v>
      </c>
      <c r="M24" s="34" t="s">
        <v>188</v>
      </c>
      <c r="N24" s="19"/>
    </row>
    <row r="25" customFormat="false" ht="42" hidden="false" customHeight="true" outlineLevel="0" collapsed="false">
      <c r="A25" s="26" t="s">
        <v>189</v>
      </c>
      <c r="B25" s="27" t="s">
        <v>172</v>
      </c>
      <c r="C25" s="28" t="s">
        <v>190</v>
      </c>
      <c r="D25" s="29" t="s">
        <v>191</v>
      </c>
      <c r="E25" s="29" t="s">
        <v>192</v>
      </c>
      <c r="F25" s="14" t="s">
        <v>41</v>
      </c>
      <c r="G25" s="14" t="s">
        <v>41</v>
      </c>
      <c r="H25" s="23" t="s">
        <v>42</v>
      </c>
      <c r="I25" s="29" t="s">
        <v>193</v>
      </c>
      <c r="J25" s="29" t="s">
        <v>111</v>
      </c>
      <c r="K25" s="17" t="s">
        <v>194</v>
      </c>
      <c r="L25" s="17" t="s">
        <v>195</v>
      </c>
      <c r="M25" s="30" t="s">
        <v>196</v>
      </c>
      <c r="N25" s="19"/>
    </row>
    <row r="26" customFormat="false" ht="42" hidden="false" customHeight="true" outlineLevel="0" collapsed="false">
      <c r="A26" s="31" t="s">
        <v>197</v>
      </c>
      <c r="B26" s="27" t="s">
        <v>172</v>
      </c>
      <c r="C26" s="32" t="s">
        <v>198</v>
      </c>
      <c r="D26" s="33" t="s">
        <v>199</v>
      </c>
      <c r="E26" s="33" t="s">
        <v>118</v>
      </c>
      <c r="F26" s="14" t="s">
        <v>41</v>
      </c>
      <c r="G26" s="15" t="s">
        <v>30</v>
      </c>
      <c r="H26" s="16" t="s">
        <v>31</v>
      </c>
      <c r="I26" s="33" t="s">
        <v>200</v>
      </c>
      <c r="J26" s="33" t="s">
        <v>201</v>
      </c>
      <c r="K26" s="17" t="s">
        <v>162</v>
      </c>
      <c r="L26" s="17" t="s">
        <v>122</v>
      </c>
      <c r="M26" s="34" t="s">
        <v>202</v>
      </c>
      <c r="N26" s="19"/>
    </row>
    <row r="27" customFormat="false" ht="42" hidden="false" customHeight="true" outlineLevel="0" collapsed="false">
      <c r="A27" s="26" t="s">
        <v>203</v>
      </c>
      <c r="B27" s="27" t="s">
        <v>172</v>
      </c>
      <c r="C27" s="28" t="s">
        <v>204</v>
      </c>
      <c r="D27" s="29" t="s">
        <v>205</v>
      </c>
      <c r="E27" s="29" t="s">
        <v>206</v>
      </c>
      <c r="F27" s="14" t="s">
        <v>41</v>
      </c>
      <c r="G27" s="14" t="s">
        <v>41</v>
      </c>
      <c r="H27" s="23" t="s">
        <v>42</v>
      </c>
      <c r="I27" s="29" t="s">
        <v>52</v>
      </c>
      <c r="J27" s="29" t="s">
        <v>201</v>
      </c>
      <c r="K27" s="17" t="s">
        <v>72</v>
      </c>
      <c r="L27" s="17" t="s">
        <v>207</v>
      </c>
      <c r="M27" s="30" t="s">
        <v>208</v>
      </c>
      <c r="N27" s="19"/>
    </row>
    <row r="28" customFormat="false" ht="42" hidden="false" customHeight="true" outlineLevel="0" collapsed="false">
      <c r="A28" s="31" t="s">
        <v>209</v>
      </c>
      <c r="B28" s="27" t="s">
        <v>172</v>
      </c>
      <c r="C28" s="32" t="s">
        <v>210</v>
      </c>
      <c r="D28" s="33" t="s">
        <v>211</v>
      </c>
      <c r="E28" s="33" t="s">
        <v>212</v>
      </c>
      <c r="F28" s="14" t="s">
        <v>41</v>
      </c>
      <c r="G28" s="14" t="s">
        <v>41</v>
      </c>
      <c r="H28" s="23" t="s">
        <v>42</v>
      </c>
      <c r="I28" s="33" t="s">
        <v>62</v>
      </c>
      <c r="J28" s="33" t="s">
        <v>128</v>
      </c>
      <c r="K28" s="17" t="s">
        <v>194</v>
      </c>
      <c r="L28" s="17" t="s">
        <v>213</v>
      </c>
      <c r="M28" s="34" t="s">
        <v>214</v>
      </c>
      <c r="N28" s="19"/>
    </row>
    <row r="29" customFormat="false" ht="42" hidden="false" customHeight="true" outlineLevel="0" collapsed="false">
      <c r="A29" s="26" t="s">
        <v>215</v>
      </c>
      <c r="B29" s="27" t="s">
        <v>172</v>
      </c>
      <c r="C29" s="28" t="s">
        <v>216</v>
      </c>
      <c r="D29" s="29" t="s">
        <v>217</v>
      </c>
      <c r="E29" s="29" t="s">
        <v>218</v>
      </c>
      <c r="F29" s="15" t="s">
        <v>30</v>
      </c>
      <c r="G29" s="14" t="s">
        <v>41</v>
      </c>
      <c r="H29" s="16" t="s">
        <v>31</v>
      </c>
      <c r="I29" s="29" t="s">
        <v>219</v>
      </c>
      <c r="J29" s="29" t="s">
        <v>201</v>
      </c>
      <c r="K29" s="17" t="s">
        <v>220</v>
      </c>
      <c r="L29" s="17" t="s">
        <v>221</v>
      </c>
      <c r="M29" s="30" t="s">
        <v>222</v>
      </c>
      <c r="N29" s="19"/>
    </row>
    <row r="30" customFormat="false" ht="42" hidden="false" customHeight="true" outlineLevel="0" collapsed="false">
      <c r="A30" s="31" t="s">
        <v>223</v>
      </c>
      <c r="B30" s="27" t="s">
        <v>172</v>
      </c>
      <c r="C30" s="32" t="s">
        <v>224</v>
      </c>
      <c r="D30" s="33" t="s">
        <v>225</v>
      </c>
      <c r="E30" s="33" t="s">
        <v>226</v>
      </c>
      <c r="F30" s="14" t="s">
        <v>41</v>
      </c>
      <c r="G30" s="14" t="s">
        <v>41</v>
      </c>
      <c r="H30" s="16" t="s">
        <v>31</v>
      </c>
      <c r="I30" s="33" t="s">
        <v>227</v>
      </c>
      <c r="J30" s="33" t="s">
        <v>228</v>
      </c>
      <c r="K30" s="17" t="s">
        <v>54</v>
      </c>
      <c r="L30" s="17" t="s">
        <v>55</v>
      </c>
      <c r="M30" s="34" t="s">
        <v>229</v>
      </c>
      <c r="N30" s="19"/>
    </row>
    <row r="31" customFormat="false" ht="42" hidden="false" customHeight="true" outlineLevel="0" collapsed="false">
      <c r="A31" s="26" t="s">
        <v>230</v>
      </c>
      <c r="B31" s="27" t="s">
        <v>172</v>
      </c>
      <c r="C31" s="28" t="s">
        <v>231</v>
      </c>
      <c r="D31" s="29" t="s">
        <v>232</v>
      </c>
      <c r="E31" s="29" t="s">
        <v>218</v>
      </c>
      <c r="F31" s="15" t="s">
        <v>30</v>
      </c>
      <c r="G31" s="14" t="s">
        <v>41</v>
      </c>
      <c r="H31" s="16" t="s">
        <v>31</v>
      </c>
      <c r="I31" s="29" t="s">
        <v>233</v>
      </c>
      <c r="J31" s="29" t="s">
        <v>201</v>
      </c>
      <c r="K31" s="17" t="s">
        <v>220</v>
      </c>
      <c r="L31" s="17" t="s">
        <v>234</v>
      </c>
      <c r="M31" s="30" t="s">
        <v>235</v>
      </c>
      <c r="N31" s="19"/>
    </row>
    <row r="32" customFormat="false" ht="42" hidden="false" customHeight="true" outlineLevel="0" collapsed="false">
      <c r="A32" s="35" t="s">
        <v>236</v>
      </c>
      <c r="B32" s="36" t="s">
        <v>237</v>
      </c>
      <c r="C32" s="37" t="s">
        <v>238</v>
      </c>
      <c r="D32" s="38" t="s">
        <v>239</v>
      </c>
      <c r="E32" s="38" t="s">
        <v>118</v>
      </c>
      <c r="F32" s="14" t="s">
        <v>41</v>
      </c>
      <c r="G32" s="14" t="s">
        <v>41</v>
      </c>
      <c r="H32" s="23" t="s">
        <v>42</v>
      </c>
      <c r="I32" s="38" t="s">
        <v>240</v>
      </c>
      <c r="J32" s="38" t="s">
        <v>63</v>
      </c>
      <c r="K32" s="17" t="s">
        <v>54</v>
      </c>
      <c r="L32" s="17" t="s">
        <v>241</v>
      </c>
      <c r="M32" s="39" t="s">
        <v>242</v>
      </c>
      <c r="N32" s="19"/>
    </row>
    <row r="33" customFormat="false" ht="42" hidden="false" customHeight="true" outlineLevel="0" collapsed="false">
      <c r="A33" s="40" t="s">
        <v>243</v>
      </c>
      <c r="B33" s="36" t="s">
        <v>237</v>
      </c>
      <c r="C33" s="41" t="s">
        <v>244</v>
      </c>
      <c r="D33" s="42" t="s">
        <v>245</v>
      </c>
      <c r="E33" s="42" t="s">
        <v>246</v>
      </c>
      <c r="F33" s="15" t="s">
        <v>30</v>
      </c>
      <c r="G33" s="14" t="s">
        <v>29</v>
      </c>
      <c r="H33" s="25" t="s">
        <v>61</v>
      </c>
      <c r="I33" s="42" t="s">
        <v>247</v>
      </c>
      <c r="J33" s="42" t="s">
        <v>248</v>
      </c>
      <c r="K33" s="17" t="s">
        <v>81</v>
      </c>
      <c r="L33" s="17" t="s">
        <v>249</v>
      </c>
      <c r="M33" s="43" t="s">
        <v>250</v>
      </c>
      <c r="N33" s="19"/>
    </row>
    <row r="34" customFormat="false" ht="42" hidden="false" customHeight="true" outlineLevel="0" collapsed="false">
      <c r="A34" s="35" t="s">
        <v>251</v>
      </c>
      <c r="B34" s="36" t="s">
        <v>237</v>
      </c>
      <c r="C34" s="37" t="s">
        <v>252</v>
      </c>
      <c r="D34" s="38" t="s">
        <v>253</v>
      </c>
      <c r="E34" s="38" t="s">
        <v>246</v>
      </c>
      <c r="F34" s="15" t="s">
        <v>30</v>
      </c>
      <c r="G34" s="14" t="s">
        <v>41</v>
      </c>
      <c r="H34" s="16" t="s">
        <v>31</v>
      </c>
      <c r="I34" s="38" t="s">
        <v>43</v>
      </c>
      <c r="J34" s="38" t="s">
        <v>254</v>
      </c>
      <c r="K34" s="17" t="s">
        <v>81</v>
      </c>
      <c r="L34" s="17" t="s">
        <v>255</v>
      </c>
      <c r="M34" s="39" t="s">
        <v>256</v>
      </c>
      <c r="N34" s="19"/>
    </row>
    <row r="35" customFormat="false" ht="18" hidden="false" customHeight="true" outlineLevel="0" collapsed="false">
      <c r="A35" s="44" t="s">
        <v>257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</row>
  </sheetData>
  <sheetProtection sheet="true" objects="true" scenarios="true"/>
  <mergeCells count="6">
    <mergeCell ref="A1:H1"/>
    <mergeCell ref="I1:N1"/>
    <mergeCell ref="A2:N2"/>
    <mergeCell ref="B3:D3"/>
    <mergeCell ref="F3:H3"/>
    <mergeCell ref="A35:N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30.71"/>
    <col collapsed="false" customWidth="true" hidden="false" outlineLevel="0" max="3" min="3" style="0" width="62.71"/>
  </cols>
  <sheetData>
    <row r="1" customFormat="false" ht="43.5" hidden="false" customHeight="true" outlineLevel="0" collapsed="false">
      <c r="A1" s="1" t="s">
        <v>258</v>
      </c>
      <c r="B1" s="1"/>
      <c r="C1" s="1"/>
    </row>
    <row r="2" customFormat="false" ht="19.5" hidden="false" customHeight="true" outlineLevel="0" collapsed="false">
      <c r="A2" s="2" t="s">
        <v>259</v>
      </c>
      <c r="B2" s="2"/>
      <c r="C2" s="45" t="s">
        <v>260</v>
      </c>
    </row>
    <row r="5" customFormat="false" ht="27.75" hidden="false" customHeight="true" outlineLevel="0" collapsed="false">
      <c r="A5" s="46" t="s">
        <v>261</v>
      </c>
      <c r="B5" s="46"/>
      <c r="C5" s="46"/>
    </row>
    <row r="6" customFormat="false" ht="21.75" hidden="false" customHeight="true" outlineLevel="0" collapsed="false">
      <c r="A6" s="47"/>
      <c r="B6" s="48" t="s">
        <v>262</v>
      </c>
      <c r="C6" s="47" t="s">
        <v>263</v>
      </c>
    </row>
    <row r="7" customFormat="false" ht="21.75" hidden="false" customHeight="true" outlineLevel="0" collapsed="false">
      <c r="A7" s="49"/>
      <c r="B7" s="48" t="s">
        <v>264</v>
      </c>
      <c r="C7" s="49" t="s">
        <v>265</v>
      </c>
    </row>
    <row r="8" customFormat="false" ht="21.75" hidden="false" customHeight="true" outlineLevel="0" collapsed="false">
      <c r="A8" s="47"/>
      <c r="B8" s="48" t="s">
        <v>266</v>
      </c>
      <c r="C8" s="47" t="s">
        <v>267</v>
      </c>
    </row>
    <row r="9" customFormat="false" ht="21.75" hidden="false" customHeight="true" outlineLevel="0" collapsed="false">
      <c r="A9" s="49"/>
      <c r="B9" s="48" t="s">
        <v>268</v>
      </c>
      <c r="C9" s="49" t="s">
        <v>269</v>
      </c>
    </row>
    <row r="10" customFormat="false" ht="21.75" hidden="false" customHeight="true" outlineLevel="0" collapsed="false">
      <c r="A10" s="47"/>
      <c r="B10" s="48" t="s">
        <v>270</v>
      </c>
      <c r="C10" s="47" t="s">
        <v>271</v>
      </c>
    </row>
    <row r="11" customFormat="false" ht="21.75" hidden="false" customHeight="true" outlineLevel="0" collapsed="false">
      <c r="A11" s="49"/>
      <c r="B11" s="48" t="s">
        <v>272</v>
      </c>
      <c r="C11" s="49" t="s">
        <v>273</v>
      </c>
    </row>
    <row r="12" customFormat="false" ht="21.75" hidden="false" customHeight="true" outlineLevel="0" collapsed="false">
      <c r="A12" s="47"/>
      <c r="B12" s="48" t="s">
        <v>274</v>
      </c>
      <c r="C12" s="47" t="s">
        <v>275</v>
      </c>
    </row>
    <row r="14" customFormat="false" ht="27.75" hidden="false" customHeight="true" outlineLevel="0" collapsed="false">
      <c r="A14" s="46" t="s">
        <v>276</v>
      </c>
      <c r="B14" s="46"/>
      <c r="C14" s="46"/>
    </row>
    <row r="15" customFormat="false" ht="21.75" hidden="false" customHeight="true" outlineLevel="0" collapsed="false">
      <c r="A15" s="49"/>
      <c r="B15" s="48" t="s">
        <v>277</v>
      </c>
      <c r="C15" s="49" t="s">
        <v>278</v>
      </c>
    </row>
    <row r="16" customFormat="false" ht="21.75" hidden="false" customHeight="true" outlineLevel="0" collapsed="false">
      <c r="A16" s="47"/>
      <c r="B16" s="48" t="s">
        <v>279</v>
      </c>
      <c r="C16" s="47" t="s">
        <v>280</v>
      </c>
    </row>
    <row r="17" customFormat="false" ht="21.75" hidden="false" customHeight="true" outlineLevel="0" collapsed="false">
      <c r="A17" s="49"/>
      <c r="B17" s="48" t="s">
        <v>281</v>
      </c>
      <c r="C17" s="49" t="s">
        <v>282</v>
      </c>
    </row>
    <row r="18" customFormat="false" ht="21.75" hidden="false" customHeight="true" outlineLevel="0" collapsed="false">
      <c r="A18" s="47"/>
      <c r="B18" s="48" t="s">
        <v>283</v>
      </c>
      <c r="C18" s="47" t="s">
        <v>284</v>
      </c>
    </row>
    <row r="19" customFormat="false" ht="21.75" hidden="false" customHeight="true" outlineLevel="0" collapsed="false">
      <c r="A19" s="49"/>
      <c r="B19" s="48" t="s">
        <v>285</v>
      </c>
      <c r="C19" s="49" t="s">
        <v>286</v>
      </c>
    </row>
    <row r="20" customFormat="false" ht="21.75" hidden="false" customHeight="true" outlineLevel="0" collapsed="false">
      <c r="A20" s="47"/>
      <c r="B20" s="48" t="s">
        <v>287</v>
      </c>
      <c r="C20" s="47" t="s">
        <v>288</v>
      </c>
    </row>
    <row r="21" customFormat="false" ht="21.75" hidden="false" customHeight="true" outlineLevel="0" collapsed="false">
      <c r="A21" s="49"/>
      <c r="B21" s="48" t="s">
        <v>289</v>
      </c>
      <c r="C21" s="49" t="s">
        <v>290</v>
      </c>
    </row>
    <row r="23" customFormat="false" ht="27.75" hidden="false" customHeight="true" outlineLevel="0" collapsed="false">
      <c r="A23" s="46" t="s">
        <v>291</v>
      </c>
      <c r="B23" s="46"/>
      <c r="C23" s="46"/>
    </row>
    <row r="24" customFormat="false" ht="21.75" hidden="false" customHeight="true" outlineLevel="0" collapsed="false">
      <c r="A24" s="47"/>
      <c r="B24" s="48" t="s">
        <v>292</v>
      </c>
      <c r="C24" s="47" t="s">
        <v>293</v>
      </c>
    </row>
    <row r="25" customFormat="false" ht="21.75" hidden="false" customHeight="true" outlineLevel="0" collapsed="false">
      <c r="A25" s="49"/>
      <c r="B25" s="48" t="s">
        <v>294</v>
      </c>
      <c r="C25" s="49" t="s">
        <v>295</v>
      </c>
    </row>
    <row r="26" customFormat="false" ht="21.75" hidden="false" customHeight="true" outlineLevel="0" collapsed="false">
      <c r="A26" s="47"/>
      <c r="B26" s="48" t="s">
        <v>296</v>
      </c>
      <c r="C26" s="47" t="s">
        <v>297</v>
      </c>
    </row>
    <row r="27" customFormat="false" ht="21.75" hidden="false" customHeight="true" outlineLevel="0" collapsed="false">
      <c r="A27" s="49"/>
      <c r="B27" s="48" t="s">
        <v>298</v>
      </c>
      <c r="C27" s="49" t="s">
        <v>299</v>
      </c>
    </row>
    <row r="28" customFormat="false" ht="21.75" hidden="false" customHeight="true" outlineLevel="0" collapsed="false">
      <c r="A28" s="47"/>
      <c r="B28" s="48" t="s">
        <v>300</v>
      </c>
      <c r="C28" s="47" t="s">
        <v>301</v>
      </c>
    </row>
    <row r="29" customFormat="false" ht="21.75" hidden="false" customHeight="true" outlineLevel="0" collapsed="false">
      <c r="A29" s="49"/>
      <c r="B29" s="48" t="s">
        <v>302</v>
      </c>
      <c r="C29" s="49" t="s">
        <v>303</v>
      </c>
    </row>
    <row r="30" customFormat="false" ht="21.75" hidden="false" customHeight="true" outlineLevel="0" collapsed="false">
      <c r="A30" s="47"/>
      <c r="B30" s="48" t="s">
        <v>304</v>
      </c>
      <c r="C30" s="47" t="s">
        <v>305</v>
      </c>
    </row>
    <row r="33" customFormat="false" ht="18" hidden="false" customHeight="true" outlineLevel="0" collapsed="false">
      <c r="A33" s="44" t="s">
        <v>306</v>
      </c>
      <c r="B33" s="44"/>
      <c r="C33" s="44"/>
    </row>
  </sheetData>
  <sheetProtection sheet="true" objects="true" scenarios="true"/>
  <mergeCells count="6">
    <mergeCell ref="A1:C1"/>
    <mergeCell ref="A2:B2"/>
    <mergeCell ref="A5:C5"/>
    <mergeCell ref="A14:C14"/>
    <mergeCell ref="A23:C23"/>
    <mergeCell ref="A33:C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2026-06-07T16:12:28Z</dcterms:created>
  <dc:creator/>
  <dc:description/>
  <dc:language>en-US</dc:language>
  <cp:lastModifiedBy/>
  <dcterms:modified xsi:type="dcterms:W3CDTF">2026-06-07T16:12:28Z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